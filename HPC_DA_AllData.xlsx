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anderbashaw/Desktop/Cell Reports HPC DA submission/OLD DRAFTS/"/>
    </mc:Choice>
  </mc:AlternateContent>
  <xr:revisionPtr revIDLastSave="0" documentId="13_ncr:1_{E6DE85F6-2AD8-AA46-8C09-8D54972D00DA}" xr6:coauthVersionLast="47" xr6:coauthVersionMax="47" xr10:uidLastSave="{00000000-0000-0000-0000-000000000000}"/>
  <bookViews>
    <workbookView xWindow="160" yWindow="660" windowWidth="28480" windowHeight="16120" activeTab="5" xr2:uid="{D4AD6DC8-8F5A-D346-922A-E1A7D754C7F6}"/>
  </bookViews>
  <sheets>
    <sheet name="Signal Confirmation" sheetId="1" r:id="rId1"/>
    <sheet name="Refeeding" sheetId="2" r:id="rId2"/>
    <sheet name="IP Injections" sheetId="9" r:id="rId3"/>
    <sheet name="Spontaneous Intake " sheetId="7" r:id="rId4"/>
    <sheet name="Post Salient Meal Intake" sheetId="8" r:id="rId5"/>
    <sheet name="Memory Tasks" sheetId="1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2" i="2" l="1"/>
  <c r="E31" i="2"/>
  <c r="E30" i="2"/>
  <c r="E29" i="2"/>
  <c r="E28" i="2"/>
  <c r="E25" i="2"/>
  <c r="E20" i="2"/>
  <c r="E19" i="2"/>
  <c r="E18" i="2"/>
  <c r="E17" i="2"/>
  <c r="E16" i="2"/>
  <c r="E15" i="2"/>
  <c r="E5" i="2"/>
  <c r="E6" i="2"/>
  <c r="E7" i="2"/>
  <c r="E8" i="2"/>
  <c r="E9" i="2"/>
  <c r="E10" i="2"/>
  <c r="E4" i="2"/>
  <c r="E27" i="1"/>
  <c r="E26" i="1"/>
  <c r="E25" i="1"/>
  <c r="E24" i="1"/>
  <c r="E23" i="1"/>
  <c r="E8" i="1"/>
  <c r="E7" i="1"/>
  <c r="E6" i="1"/>
  <c r="E5" i="1"/>
  <c r="E4" i="1"/>
  <c r="E14" i="1"/>
  <c r="E15" i="1"/>
  <c r="E16" i="1"/>
  <c r="E17" i="1"/>
  <c r="E18" i="1"/>
  <c r="E13" i="1"/>
</calcChain>
</file>

<file path=xl/sharedStrings.xml><?xml version="1.0" encoding="utf-8"?>
<sst xmlns="http://schemas.openxmlformats.org/spreadsheetml/2006/main" count="430" uniqueCount="158">
  <si>
    <t>Animal ID</t>
  </si>
  <si>
    <t>B7801</t>
  </si>
  <si>
    <t>B7802</t>
  </si>
  <si>
    <t>B7803</t>
  </si>
  <si>
    <t>B7804</t>
  </si>
  <si>
    <t>B7805</t>
  </si>
  <si>
    <t>B7806</t>
  </si>
  <si>
    <t>IP Saline</t>
  </si>
  <si>
    <t>IP Saline GRAB DA</t>
  </si>
  <si>
    <t>IP Quinpirole GRAB DA</t>
  </si>
  <si>
    <t>IP Quinpirole GRAB DA Mut</t>
  </si>
  <si>
    <t>B7807</t>
  </si>
  <si>
    <t>B7808</t>
  </si>
  <si>
    <t>B7809</t>
  </si>
  <si>
    <t>B7810</t>
  </si>
  <si>
    <t>B7811</t>
  </si>
  <si>
    <t>B7812</t>
  </si>
  <si>
    <t>Delta AUC  (p2-p1)</t>
  </si>
  <si>
    <t>DA pre-meal (AUC)</t>
  </si>
  <si>
    <t>DA post-meal (AUC)</t>
  </si>
  <si>
    <t>Refeed Chow</t>
  </si>
  <si>
    <t>Active Eating (z-score)</t>
  </si>
  <si>
    <t>Inter bout (zscore)</t>
  </si>
  <si>
    <t>B3201</t>
  </si>
  <si>
    <t>B4203</t>
  </si>
  <si>
    <t>B4205</t>
  </si>
  <si>
    <t>B4206</t>
  </si>
  <si>
    <t>B4208</t>
  </si>
  <si>
    <t>B6008</t>
  </si>
  <si>
    <t>B6016</t>
  </si>
  <si>
    <t>Chow Consumed (kCal)</t>
  </si>
  <si>
    <t>Delta AUC  (post-pre)</t>
  </si>
  <si>
    <t>Refeed HFD</t>
  </si>
  <si>
    <t>Refeed Chow (GRAB-DA MUT)</t>
  </si>
  <si>
    <t>Fluorescence pre-meal (AUC)</t>
  </si>
  <si>
    <t>Fluorescence post-meal (AUC)</t>
  </si>
  <si>
    <t>B4202</t>
  </si>
  <si>
    <t>Refeed Sucrose</t>
  </si>
  <si>
    <t>HFD Consumed (kCal)</t>
  </si>
  <si>
    <t>Sucrose Consumed (kCal)</t>
  </si>
  <si>
    <t>D705</t>
  </si>
  <si>
    <t>D704</t>
  </si>
  <si>
    <t>Saccharin Consumed (ml)</t>
  </si>
  <si>
    <t>D702</t>
  </si>
  <si>
    <t>D706</t>
  </si>
  <si>
    <t>D707</t>
  </si>
  <si>
    <t>D708</t>
  </si>
  <si>
    <t>D703</t>
  </si>
  <si>
    <t>B6001</t>
  </si>
  <si>
    <t>B6013</t>
  </si>
  <si>
    <t>B6005</t>
  </si>
  <si>
    <t>IP Glucose</t>
  </si>
  <si>
    <t>DA pre (AUC)</t>
  </si>
  <si>
    <t>DA post (AUC)</t>
  </si>
  <si>
    <t>D701</t>
  </si>
  <si>
    <t>D710</t>
  </si>
  <si>
    <t>D711</t>
  </si>
  <si>
    <t>IP CCK</t>
  </si>
  <si>
    <t>BG 0 mins (mg/dl)</t>
  </si>
  <si>
    <t>BG 30 mins (mg/dl)</t>
  </si>
  <si>
    <t>BG 60 mins (mg/dl)</t>
  </si>
  <si>
    <t>BG 90 mins (mg/dl)</t>
  </si>
  <si>
    <t>BG (30-0mins, mg/dl)</t>
  </si>
  <si>
    <t>aCSF</t>
  </si>
  <si>
    <t>Quinpirole 3.0ug</t>
  </si>
  <si>
    <t>1 hr</t>
  </si>
  <si>
    <t>2 hr</t>
  </si>
  <si>
    <t>4 hr</t>
  </si>
  <si>
    <t>A6001</t>
  </si>
  <si>
    <t>A6002</t>
  </si>
  <si>
    <t>A6003</t>
  </si>
  <si>
    <t>A6004</t>
  </si>
  <si>
    <t>A6005</t>
  </si>
  <si>
    <t>A6006</t>
  </si>
  <si>
    <t>A6007</t>
  </si>
  <si>
    <t>A6008</t>
  </si>
  <si>
    <t>A6009</t>
  </si>
  <si>
    <t>A6010</t>
  </si>
  <si>
    <t>Chow Intake (g)</t>
  </si>
  <si>
    <t># Meals</t>
  </si>
  <si>
    <t>#Meals</t>
  </si>
  <si>
    <t>Meal size (g)</t>
  </si>
  <si>
    <t>Treatment</t>
  </si>
  <si>
    <t>Raclopride 5ug</t>
  </si>
  <si>
    <t>B4102</t>
  </si>
  <si>
    <t>B4103</t>
  </si>
  <si>
    <t>B4104</t>
  </si>
  <si>
    <t>B4105</t>
  </si>
  <si>
    <t>B4106</t>
  </si>
  <si>
    <t>B4107</t>
  </si>
  <si>
    <t>B4109</t>
  </si>
  <si>
    <t>B4110</t>
  </si>
  <si>
    <t>B4111</t>
  </si>
  <si>
    <t>B4112</t>
  </si>
  <si>
    <t>B2901</t>
  </si>
  <si>
    <t>B2902</t>
  </si>
  <si>
    <t>B2903</t>
  </si>
  <si>
    <t>B2904</t>
  </si>
  <si>
    <t>B2905</t>
  </si>
  <si>
    <t>B2906</t>
  </si>
  <si>
    <t>B2907</t>
  </si>
  <si>
    <t>B2910</t>
  </si>
  <si>
    <t>B2912</t>
  </si>
  <si>
    <t>B9201</t>
  </si>
  <si>
    <t>B9202</t>
  </si>
  <si>
    <t>B9203</t>
  </si>
  <si>
    <t>B9204</t>
  </si>
  <si>
    <t>B9205</t>
  </si>
  <si>
    <t>B9206</t>
  </si>
  <si>
    <t>B9207</t>
  </si>
  <si>
    <t>B9208</t>
  </si>
  <si>
    <t>B9209</t>
  </si>
  <si>
    <t>B9211</t>
  </si>
  <si>
    <t>B9210</t>
  </si>
  <si>
    <t>B9212</t>
  </si>
  <si>
    <t>Meal Size (g)</t>
  </si>
  <si>
    <t>First Meal Latency (s)</t>
  </si>
  <si>
    <t>63*</t>
  </si>
  <si>
    <t>520*</t>
  </si>
  <si>
    <t xml:space="preserve">outlier </t>
  </si>
  <si>
    <t>Raclo</t>
  </si>
  <si>
    <t>MPR Shift from baseline</t>
  </si>
  <si>
    <t>Baseline</t>
  </si>
  <si>
    <t>Probe</t>
  </si>
  <si>
    <t>Meal Place Recognition</t>
  </si>
  <si>
    <t>Preference Index</t>
  </si>
  <si>
    <t>NLR Shift from baseline</t>
  </si>
  <si>
    <t>B4503</t>
  </si>
  <si>
    <t>B4504</t>
  </si>
  <si>
    <t>B4511</t>
  </si>
  <si>
    <t>B4513</t>
  </si>
  <si>
    <t>B4514</t>
  </si>
  <si>
    <t>B4516</t>
  </si>
  <si>
    <t>Novel Location Recognition (Long  Term)</t>
  </si>
  <si>
    <t>Novel Location Recognition (Short Term)</t>
  </si>
  <si>
    <t>NLR Preference Index</t>
  </si>
  <si>
    <t>B8301</t>
  </si>
  <si>
    <t>B8304</t>
  </si>
  <si>
    <t>B8305</t>
  </si>
  <si>
    <t>B8306</t>
  </si>
  <si>
    <t>B8307</t>
  </si>
  <si>
    <t>B8309</t>
  </si>
  <si>
    <t>B8314</t>
  </si>
  <si>
    <t>B8315</t>
  </si>
  <si>
    <t>B8302</t>
  </si>
  <si>
    <t>B8303</t>
  </si>
  <si>
    <t>B8308</t>
  </si>
  <si>
    <t>B8310</t>
  </si>
  <si>
    <t>B8311</t>
  </si>
  <si>
    <t>B8312</t>
  </si>
  <si>
    <t>B8316</t>
  </si>
  <si>
    <t>GRAB MUT p2 AUC</t>
  </si>
  <si>
    <t>GRAB MUT p1 AUC</t>
  </si>
  <si>
    <t>GRAB DA p1 AUC</t>
  </si>
  <si>
    <t>Grab-DA p1 AUC</t>
  </si>
  <si>
    <t>GRAB DA p2 AUC</t>
  </si>
  <si>
    <t>Refeed Saccharin</t>
  </si>
  <si>
    <t>Home Cage Object (HCO)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</si>
</sst>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4"/>
      <name val="Calibri"/>
      <family val="2"/>
    </font>
    <font>
      <sz val="12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i/>
      <sz val="14"/>
      <color rgb="FF0000FF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b/>
      <sz val="14"/>
      <color rgb="FF000000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7" xfId="0" applyFont="1" applyBorder="1"/>
    <xf numFmtId="0" fontId="4" fillId="0" borderId="0" xfId="0" applyFont="1" applyAlignment="1">
      <alignment horizontal="center"/>
    </xf>
    <xf numFmtId="0" fontId="5" fillId="0" borderId="0" xfId="0" applyFont="1"/>
    <xf numFmtId="0" fontId="5" fillId="0" borderId="7" xfId="0" applyFont="1" applyBorder="1"/>
    <xf numFmtId="0" fontId="5" fillId="0" borderId="0" xfId="0" applyFont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5" xfId="0" applyFont="1" applyBorder="1"/>
    <xf numFmtId="0" fontId="5" fillId="0" borderId="8" xfId="0" applyFont="1" applyBorder="1"/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/>
    <xf numFmtId="0" fontId="3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4" xfId="0" applyFont="1" applyBorder="1"/>
    <xf numFmtId="0" fontId="4" fillId="0" borderId="5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8" fillId="0" borderId="0" xfId="0" applyFont="1"/>
    <xf numFmtId="0" fontId="4" fillId="0" borderId="0" xfId="0" applyFont="1" applyAlignment="1">
      <alignment horizontal="left"/>
    </xf>
    <xf numFmtId="0" fontId="4" fillId="0" borderId="1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8" xfId="0" applyFont="1" applyBorder="1"/>
    <xf numFmtId="0" fontId="4" fillId="0" borderId="2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/>
    <xf numFmtId="0" fontId="4" fillId="3" borderId="11" xfId="0" applyFont="1" applyFill="1" applyBorder="1" applyAlignment="1">
      <alignment horizontal="center"/>
    </xf>
    <xf numFmtId="0" fontId="4" fillId="0" borderId="2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3" fillId="0" borderId="4" xfId="0" applyFont="1" applyBorder="1" applyAlignment="1">
      <alignment horizontal="center" vertical="center"/>
    </xf>
    <xf numFmtId="0" fontId="7" fillId="0" borderId="0" xfId="0" applyFont="1"/>
    <xf numFmtId="0" fontId="7" fillId="0" borderId="4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2" fillId="0" borderId="2" xfId="0" applyFont="1" applyBorder="1"/>
    <xf numFmtId="0" fontId="7" fillId="0" borderId="2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  <xf numFmtId="0" fontId="4" fillId="0" borderId="8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8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5" fillId="0" borderId="4" xfId="0" applyFont="1" applyBorder="1" applyAlignment="1">
      <alignment horizontal="left"/>
    </xf>
    <xf numFmtId="0" fontId="15" fillId="0" borderId="6" xfId="0" applyFont="1" applyBorder="1" applyAlignment="1">
      <alignment horizontal="left"/>
    </xf>
    <xf numFmtId="0" fontId="12" fillId="0" borderId="4" xfId="0" applyFont="1" applyBorder="1"/>
    <xf numFmtId="0" fontId="12" fillId="0" borderId="6" xfId="0" applyFont="1" applyBorder="1"/>
    <xf numFmtId="0" fontId="13" fillId="0" borderId="9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68B6F-1927-7C42-9527-228A1D6E0F28}">
  <dimension ref="B1:O27"/>
  <sheetViews>
    <sheetView workbookViewId="0">
      <selection activeCell="B25" sqref="B25:B27"/>
    </sheetView>
  </sheetViews>
  <sheetFormatPr baseColWidth="10" defaultRowHeight="16" x14ac:dyDescent="0.2"/>
  <cols>
    <col min="1" max="2" width="10.83203125" style="1"/>
    <col min="3" max="4" width="17.1640625" style="1" bestFit="1" customWidth="1"/>
    <col min="5" max="5" width="16.6640625" style="1" bestFit="1" customWidth="1"/>
    <col min="6" max="7" width="10.83203125" style="1"/>
    <col min="8" max="9" width="19.6640625" style="1" bestFit="1" customWidth="1"/>
    <col min="10" max="10" width="21.6640625" style="1" bestFit="1" customWidth="1"/>
    <col min="11" max="16384" width="10.83203125" style="1"/>
  </cols>
  <sheetData>
    <row r="1" spans="2:14" ht="17" thickBot="1" x14ac:dyDescent="0.25"/>
    <row r="2" spans="2:14" ht="20" thickBot="1" x14ac:dyDescent="0.3">
      <c r="B2" s="76" t="s">
        <v>8</v>
      </c>
      <c r="C2" s="77"/>
      <c r="D2" s="77"/>
      <c r="E2" s="78"/>
    </row>
    <row r="3" spans="2:14" ht="17" thickBot="1" x14ac:dyDescent="0.25">
      <c r="B3" s="23" t="s">
        <v>0</v>
      </c>
      <c r="C3" s="24" t="s">
        <v>153</v>
      </c>
      <c r="D3" s="24" t="s">
        <v>155</v>
      </c>
      <c r="E3" s="25" t="s">
        <v>17</v>
      </c>
    </row>
    <row r="4" spans="2:14" x14ac:dyDescent="0.2">
      <c r="B4" s="74" t="s">
        <v>2</v>
      </c>
      <c r="C4" s="5">
        <v>-2.359</v>
      </c>
      <c r="D4" s="5">
        <v>11.48</v>
      </c>
      <c r="E4" s="10">
        <f>D4-C4</f>
        <v>13.839</v>
      </c>
      <c r="F4" s="5"/>
      <c r="K4" s="5"/>
      <c r="L4" s="5"/>
      <c r="M4" s="5"/>
      <c r="N4" s="5"/>
    </row>
    <row r="5" spans="2:14" x14ac:dyDescent="0.2">
      <c r="B5" s="74" t="s">
        <v>3</v>
      </c>
      <c r="C5" s="5">
        <v>-0.23250000000000001</v>
      </c>
      <c r="D5" s="5">
        <v>-3.7480000000000002</v>
      </c>
      <c r="E5" s="10">
        <f t="shared" ref="E5:E8" si="0">D5-C5</f>
        <v>-3.5155000000000003</v>
      </c>
    </row>
    <row r="6" spans="2:14" x14ac:dyDescent="0.2">
      <c r="B6" s="74" t="s">
        <v>4</v>
      </c>
      <c r="C6" s="5">
        <v>-0.4667</v>
      </c>
      <c r="D6" s="5">
        <v>-0.78580000000000005</v>
      </c>
      <c r="E6" s="10">
        <f t="shared" si="0"/>
        <v>-0.31910000000000005</v>
      </c>
    </row>
    <row r="7" spans="2:14" x14ac:dyDescent="0.2">
      <c r="B7" s="74" t="s">
        <v>5</v>
      </c>
      <c r="C7" s="5">
        <v>-1.357</v>
      </c>
      <c r="D7" s="5">
        <v>2.7440000000000002</v>
      </c>
      <c r="E7" s="10">
        <f t="shared" si="0"/>
        <v>4.101</v>
      </c>
    </row>
    <row r="8" spans="2:14" ht="17" thickBot="1" x14ac:dyDescent="0.25">
      <c r="B8" s="75" t="s">
        <v>6</v>
      </c>
      <c r="C8" s="6">
        <v>-3.2970000000000002</v>
      </c>
      <c r="D8" s="6">
        <v>3.4079999999999999</v>
      </c>
      <c r="E8" s="11">
        <f t="shared" si="0"/>
        <v>6.7050000000000001</v>
      </c>
    </row>
    <row r="9" spans="2:14" x14ac:dyDescent="0.2">
      <c r="C9" s="5"/>
      <c r="D9" s="5"/>
      <c r="E9" s="5"/>
    </row>
    <row r="10" spans="2:14" ht="17" thickBot="1" x14ac:dyDescent="0.25">
      <c r="E10" s="5"/>
    </row>
    <row r="11" spans="2:14" ht="20" thickBot="1" x14ac:dyDescent="0.3">
      <c r="B11" s="76" t="s">
        <v>9</v>
      </c>
      <c r="C11" s="77"/>
      <c r="D11" s="77"/>
      <c r="E11" s="78"/>
    </row>
    <row r="12" spans="2:14" ht="17" thickBot="1" x14ac:dyDescent="0.25">
      <c r="B12" s="23" t="s">
        <v>0</v>
      </c>
      <c r="C12" s="24" t="s">
        <v>154</v>
      </c>
      <c r="D12" s="24" t="s">
        <v>155</v>
      </c>
      <c r="E12" s="25" t="s">
        <v>17</v>
      </c>
      <c r="F12" s="5"/>
      <c r="G12" s="5"/>
      <c r="H12" s="5"/>
    </row>
    <row r="13" spans="2:14" x14ac:dyDescent="0.2">
      <c r="B13" s="74" t="s">
        <v>1</v>
      </c>
      <c r="C13" s="5">
        <v>6.9210000000000003</v>
      </c>
      <c r="D13" s="5">
        <v>210</v>
      </c>
      <c r="E13" s="10">
        <f>D13-C13</f>
        <v>203.07900000000001</v>
      </c>
    </row>
    <row r="14" spans="2:14" x14ac:dyDescent="0.2">
      <c r="B14" s="74" t="s">
        <v>2</v>
      </c>
      <c r="C14" s="5">
        <v>-0.63070000000000004</v>
      </c>
      <c r="D14" s="5">
        <v>210.8</v>
      </c>
      <c r="E14" s="10">
        <f t="shared" ref="E14:E18" si="1">D14-C14</f>
        <v>211.4307</v>
      </c>
    </row>
    <row r="15" spans="2:14" x14ac:dyDescent="0.2">
      <c r="B15" s="74" t="s">
        <v>3</v>
      </c>
      <c r="C15" s="5">
        <v>-0.34239999999999998</v>
      </c>
      <c r="D15" s="5">
        <v>270.60000000000002</v>
      </c>
      <c r="E15" s="10">
        <f t="shared" si="1"/>
        <v>270.94240000000002</v>
      </c>
      <c r="F15" s="5"/>
      <c r="G15" s="5"/>
      <c r="H15" s="5"/>
    </row>
    <row r="16" spans="2:14" x14ac:dyDescent="0.2">
      <c r="B16" s="74" t="s">
        <v>4</v>
      </c>
      <c r="C16" s="5">
        <v>6.615E-2</v>
      </c>
      <c r="D16" s="5">
        <v>219</v>
      </c>
      <c r="E16" s="10">
        <f t="shared" si="1"/>
        <v>218.93385000000001</v>
      </c>
    </row>
    <row r="17" spans="2:15" x14ac:dyDescent="0.2">
      <c r="B17" s="74" t="s">
        <v>5</v>
      </c>
      <c r="C17" s="5">
        <v>-1.2809999999999999</v>
      </c>
      <c r="D17" s="5">
        <v>303.10000000000002</v>
      </c>
      <c r="E17" s="10">
        <f t="shared" si="1"/>
        <v>304.38100000000003</v>
      </c>
      <c r="I17" s="7"/>
      <c r="J17" s="7"/>
      <c r="K17" s="7"/>
      <c r="L17" s="7"/>
      <c r="M17" s="7"/>
      <c r="N17" s="7"/>
      <c r="O17" s="7"/>
    </row>
    <row r="18" spans="2:15" ht="17" thickBot="1" x14ac:dyDescent="0.25">
      <c r="B18" s="75" t="s">
        <v>6</v>
      </c>
      <c r="C18" s="6">
        <v>0.7591</v>
      </c>
      <c r="D18" s="6">
        <v>170.9</v>
      </c>
      <c r="E18" s="11">
        <f t="shared" si="1"/>
        <v>170.14090000000002</v>
      </c>
      <c r="I18" s="5"/>
      <c r="J18" s="5"/>
      <c r="K18" s="5"/>
      <c r="L18" s="5"/>
      <c r="M18" s="5"/>
      <c r="N18" s="5"/>
      <c r="O18" s="5"/>
    </row>
    <row r="19" spans="2:15" x14ac:dyDescent="0.2">
      <c r="C19" s="5"/>
      <c r="D19" s="5"/>
      <c r="E19" s="5"/>
      <c r="I19" s="5"/>
      <c r="J19" s="5"/>
      <c r="K19" s="5"/>
      <c r="L19" s="5"/>
      <c r="M19" s="5"/>
      <c r="N19" s="5"/>
      <c r="O19" s="5"/>
    </row>
    <row r="20" spans="2:15" ht="17" thickBot="1" x14ac:dyDescent="0.25">
      <c r="I20" s="5"/>
      <c r="J20" s="5"/>
      <c r="K20" s="5"/>
      <c r="L20" s="5"/>
      <c r="M20" s="5"/>
      <c r="N20" s="5"/>
      <c r="O20" s="5"/>
    </row>
    <row r="21" spans="2:15" ht="20" thickBot="1" x14ac:dyDescent="0.3">
      <c r="B21" s="76" t="s">
        <v>10</v>
      </c>
      <c r="C21" s="77"/>
      <c r="D21" s="77"/>
      <c r="E21" s="78"/>
    </row>
    <row r="22" spans="2:15" ht="17" thickBot="1" x14ac:dyDescent="0.25">
      <c r="B22" s="23" t="s">
        <v>0</v>
      </c>
      <c r="C22" s="24" t="s">
        <v>152</v>
      </c>
      <c r="D22" s="24" t="s">
        <v>151</v>
      </c>
      <c r="E22" s="25" t="s">
        <v>17</v>
      </c>
    </row>
    <row r="23" spans="2:15" x14ac:dyDescent="0.2">
      <c r="B23" s="70" t="s">
        <v>12</v>
      </c>
      <c r="C23" s="5">
        <v>-1.857</v>
      </c>
      <c r="D23" s="5">
        <v>-0.1321</v>
      </c>
      <c r="E23" s="10">
        <f t="shared" ref="E23:E27" si="2">D23-C23</f>
        <v>1.7248999999999999</v>
      </c>
    </row>
    <row r="24" spans="2:15" x14ac:dyDescent="0.2">
      <c r="B24" s="70" t="s">
        <v>13</v>
      </c>
      <c r="C24" s="5">
        <v>1.3320000000000001</v>
      </c>
      <c r="D24" s="5">
        <v>-5.1429999999999998</v>
      </c>
      <c r="E24" s="10">
        <f t="shared" si="2"/>
        <v>-6.4749999999999996</v>
      </c>
    </row>
    <row r="25" spans="2:15" x14ac:dyDescent="0.2">
      <c r="B25" s="70" t="s">
        <v>14</v>
      </c>
      <c r="C25" s="5">
        <v>2.2080000000000002</v>
      </c>
      <c r="D25" s="5">
        <v>-1.3939999999999999</v>
      </c>
      <c r="E25" s="10">
        <f t="shared" si="2"/>
        <v>-3.6020000000000003</v>
      </c>
    </row>
    <row r="26" spans="2:15" x14ac:dyDescent="0.2">
      <c r="B26" s="70" t="s">
        <v>15</v>
      </c>
      <c r="C26" s="5">
        <v>-0.67730000000000001</v>
      </c>
      <c r="D26" s="5">
        <v>0.97270000000000001</v>
      </c>
      <c r="E26" s="10">
        <f t="shared" si="2"/>
        <v>1.65</v>
      </c>
    </row>
    <row r="27" spans="2:15" ht="17" thickBot="1" x14ac:dyDescent="0.25">
      <c r="B27" s="71" t="s">
        <v>16</v>
      </c>
      <c r="C27" s="6">
        <v>1.1900000000000001E-2</v>
      </c>
      <c r="D27" s="6">
        <v>-2.3540000000000001</v>
      </c>
      <c r="E27" s="11">
        <f t="shared" si="2"/>
        <v>-2.3658999999999999</v>
      </c>
    </row>
  </sheetData>
  <mergeCells count="3">
    <mergeCell ref="B11:E11"/>
    <mergeCell ref="B2:E2"/>
    <mergeCell ref="B21:E2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206AF-D7B0-C04D-9868-E06818ED2AEB}">
  <dimension ref="B1:L43"/>
  <sheetViews>
    <sheetView topLeftCell="A19" workbookViewId="0">
      <selection activeCell="J21" sqref="J21"/>
    </sheetView>
  </sheetViews>
  <sheetFormatPr baseColWidth="10" defaultRowHeight="16" x14ac:dyDescent="0.2"/>
  <cols>
    <col min="1" max="2" width="10.83203125" style="1"/>
    <col min="3" max="3" width="17" style="1" bestFit="1" customWidth="1"/>
    <col min="4" max="4" width="17.83203125" style="1" bestFit="1" customWidth="1"/>
    <col min="5" max="5" width="18.83203125" style="1" bestFit="1" customWidth="1"/>
    <col min="6" max="6" width="22" style="1" bestFit="1" customWidth="1"/>
    <col min="7" max="7" width="19.6640625" style="1" bestFit="1" customWidth="1"/>
    <col min="8" max="8" width="16.33203125" style="1" bestFit="1" customWidth="1"/>
    <col min="9" max="10" width="10.83203125" style="1"/>
    <col min="11" max="11" width="25.5" style="1" bestFit="1" customWidth="1"/>
    <col min="12" max="12" width="26.33203125" style="1" bestFit="1" customWidth="1"/>
    <col min="13" max="16384" width="10.83203125" style="1"/>
  </cols>
  <sheetData>
    <row r="1" spans="2:12" ht="17" thickBot="1" x14ac:dyDescent="0.25"/>
    <row r="2" spans="2:12" ht="17" thickBot="1" x14ac:dyDescent="0.25">
      <c r="B2" s="82" t="s">
        <v>20</v>
      </c>
      <c r="C2" s="83"/>
      <c r="D2" s="83"/>
      <c r="E2" s="83"/>
      <c r="F2" s="83"/>
      <c r="G2" s="83"/>
      <c r="H2" s="84"/>
      <c r="J2" s="85" t="s">
        <v>33</v>
      </c>
      <c r="K2" s="86"/>
      <c r="L2" s="87"/>
    </row>
    <row r="3" spans="2:12" ht="17" thickBot="1" x14ac:dyDescent="0.25">
      <c r="B3" s="23" t="s">
        <v>0</v>
      </c>
      <c r="C3" s="24" t="s">
        <v>18</v>
      </c>
      <c r="D3" s="24" t="s">
        <v>19</v>
      </c>
      <c r="E3" s="24" t="s">
        <v>31</v>
      </c>
      <c r="F3" s="24" t="s">
        <v>30</v>
      </c>
      <c r="G3" s="24" t="s">
        <v>21</v>
      </c>
      <c r="H3" s="25" t="s">
        <v>22</v>
      </c>
      <c r="J3" s="23" t="s">
        <v>0</v>
      </c>
      <c r="K3" s="24" t="s">
        <v>34</v>
      </c>
      <c r="L3" s="25" t="s">
        <v>35</v>
      </c>
    </row>
    <row r="4" spans="2:12" ht="19" x14ac:dyDescent="0.25">
      <c r="B4" s="72" t="s">
        <v>23</v>
      </c>
      <c r="C4" s="2">
        <v>0.63109999999999999</v>
      </c>
      <c r="D4" s="2">
        <v>6.5730000000000004</v>
      </c>
      <c r="E4" s="5">
        <f>D4-C4</f>
        <v>5.9419000000000004</v>
      </c>
      <c r="F4" s="2">
        <v>7.3780000000000001</v>
      </c>
      <c r="G4" s="2">
        <v>-7.29958E-2</v>
      </c>
      <c r="H4" s="38">
        <v>0.40533915999999998</v>
      </c>
      <c r="J4" s="72" t="s">
        <v>11</v>
      </c>
      <c r="K4" s="2">
        <v>-0.51339999999999997</v>
      </c>
      <c r="L4" s="38">
        <v>2.93</v>
      </c>
    </row>
    <row r="5" spans="2:12" ht="19" x14ac:dyDescent="0.25">
      <c r="B5" s="72" t="s">
        <v>24</v>
      </c>
      <c r="C5" s="2">
        <v>-1.4419999999999999</v>
      </c>
      <c r="D5" s="2">
        <v>6.5949999999999998</v>
      </c>
      <c r="E5" s="5">
        <f t="shared" ref="E5:E10" si="0">D5-C5</f>
        <v>8.036999999999999</v>
      </c>
      <c r="F5" s="2">
        <v>8.4009999999999998</v>
      </c>
      <c r="G5" s="2">
        <v>0.23369103999999999</v>
      </c>
      <c r="H5" s="38">
        <v>-0.1139516</v>
      </c>
      <c r="J5" s="72" t="s">
        <v>12</v>
      </c>
      <c r="K5" s="2">
        <v>-1.5660000000000001</v>
      </c>
      <c r="L5" s="38">
        <v>-0.307</v>
      </c>
    </row>
    <row r="6" spans="2:12" ht="19" x14ac:dyDescent="0.25">
      <c r="B6" s="72" t="s">
        <v>25</v>
      </c>
      <c r="C6" s="2">
        <v>2.2789999999999999</v>
      </c>
      <c r="D6" s="2">
        <v>11.66</v>
      </c>
      <c r="E6" s="5">
        <f t="shared" si="0"/>
        <v>9.3810000000000002</v>
      </c>
      <c r="F6" s="2">
        <v>19.623000000000001</v>
      </c>
      <c r="G6" s="2">
        <v>-0.14429159999999999</v>
      </c>
      <c r="H6" s="38">
        <v>1.29778087</v>
      </c>
      <c r="J6" s="72" t="s">
        <v>13</v>
      </c>
      <c r="K6" s="2">
        <v>1.1279999999999999</v>
      </c>
      <c r="L6" s="38">
        <v>3.3220000000000001</v>
      </c>
    </row>
    <row r="7" spans="2:12" ht="19" x14ac:dyDescent="0.25">
      <c r="B7" s="72" t="s">
        <v>26</v>
      </c>
      <c r="C7" s="2">
        <v>0.73380000000000001</v>
      </c>
      <c r="D7" s="2">
        <v>4.9409999999999998</v>
      </c>
      <c r="E7" s="5">
        <f t="shared" si="0"/>
        <v>4.2072000000000003</v>
      </c>
      <c r="F7" s="2">
        <v>5.89</v>
      </c>
      <c r="G7" s="2">
        <v>0.31983863000000001</v>
      </c>
      <c r="H7" s="38">
        <v>0.60156803999999997</v>
      </c>
      <c r="J7" s="72" t="s">
        <v>14</v>
      </c>
      <c r="K7" s="2">
        <v>0.31690000000000002</v>
      </c>
      <c r="L7" s="38">
        <v>-2.4740000000000002</v>
      </c>
    </row>
    <row r="8" spans="2:12" ht="19" x14ac:dyDescent="0.25">
      <c r="B8" s="72" t="s">
        <v>27</v>
      </c>
      <c r="C8" s="2">
        <v>6.15</v>
      </c>
      <c r="D8" s="2">
        <v>5.0090000000000003</v>
      </c>
      <c r="E8" s="5">
        <f t="shared" si="0"/>
        <v>-1.141</v>
      </c>
      <c r="F8" s="2">
        <v>15.81</v>
      </c>
      <c r="G8" s="2">
        <v>0.24967758300000001</v>
      </c>
      <c r="H8" s="38">
        <v>0.703660756</v>
      </c>
      <c r="J8" s="72" t="s">
        <v>15</v>
      </c>
      <c r="K8" s="2">
        <v>-3.6280000000000001</v>
      </c>
      <c r="L8" s="38">
        <v>-7.65</v>
      </c>
    </row>
    <row r="9" spans="2:12" ht="20" thickBot="1" x14ac:dyDescent="0.3">
      <c r="B9" s="72" t="s">
        <v>28</v>
      </c>
      <c r="C9" s="2">
        <v>-0.60189999999999999</v>
      </c>
      <c r="D9" s="2">
        <v>3.5339999999999998</v>
      </c>
      <c r="E9" s="5">
        <f t="shared" si="0"/>
        <v>4.1358999999999995</v>
      </c>
      <c r="F9" s="2">
        <v>17.670000000000002</v>
      </c>
      <c r="G9" s="2">
        <v>-0.86014889999999999</v>
      </c>
      <c r="H9" s="38">
        <v>0.81352526000000003</v>
      </c>
      <c r="J9" s="73" t="s">
        <v>16</v>
      </c>
      <c r="K9" s="3">
        <v>-3.7629999999999999</v>
      </c>
      <c r="L9" s="40">
        <v>-1.8149999999999999</v>
      </c>
    </row>
    <row r="10" spans="2:12" ht="20" thickBot="1" x14ac:dyDescent="0.3">
      <c r="B10" s="73" t="s">
        <v>29</v>
      </c>
      <c r="C10" s="3">
        <v>-0.45760000000000001</v>
      </c>
      <c r="D10" s="3">
        <v>3.6110000000000002</v>
      </c>
      <c r="E10" s="6">
        <f t="shared" si="0"/>
        <v>4.0686</v>
      </c>
      <c r="F10" s="3">
        <v>9.92</v>
      </c>
      <c r="G10" s="3">
        <v>0.12027529000000001</v>
      </c>
      <c r="H10" s="40">
        <v>-1.4978061</v>
      </c>
      <c r="J10" s="36"/>
      <c r="K10" s="2"/>
      <c r="L10" s="2"/>
    </row>
    <row r="11" spans="2:12" ht="19" x14ac:dyDescent="0.25">
      <c r="B11" s="36"/>
      <c r="C11" s="2"/>
      <c r="D11" s="2"/>
      <c r="E11" s="5"/>
      <c r="F11" s="2"/>
      <c r="G11" s="2"/>
      <c r="H11" s="2"/>
      <c r="J11" s="36"/>
      <c r="K11" s="2"/>
      <c r="L11" s="2"/>
    </row>
    <row r="12" spans="2:12" ht="17" thickBot="1" x14ac:dyDescent="0.25">
      <c r="E12" s="5"/>
    </row>
    <row r="13" spans="2:12" ht="17" thickBot="1" x14ac:dyDescent="0.25">
      <c r="B13" s="79" t="s">
        <v>32</v>
      </c>
      <c r="C13" s="80"/>
      <c r="D13" s="80"/>
      <c r="E13" s="80"/>
      <c r="F13" s="81"/>
      <c r="G13" s="14"/>
      <c r="H13" s="14"/>
      <c r="J13" s="79" t="s">
        <v>157</v>
      </c>
      <c r="K13" s="80"/>
      <c r="L13" s="81"/>
    </row>
    <row r="14" spans="2:12" ht="17" thickBot="1" x14ac:dyDescent="0.25">
      <c r="B14" s="23" t="s">
        <v>0</v>
      </c>
      <c r="C14" s="24" t="s">
        <v>18</v>
      </c>
      <c r="D14" s="24" t="s">
        <v>19</v>
      </c>
      <c r="E14" s="24" t="s">
        <v>31</v>
      </c>
      <c r="F14" s="25" t="s">
        <v>38</v>
      </c>
      <c r="J14" s="23" t="s">
        <v>0</v>
      </c>
      <c r="K14" s="24" t="s">
        <v>18</v>
      </c>
      <c r="L14" s="25" t="s">
        <v>19</v>
      </c>
    </row>
    <row r="15" spans="2:12" ht="19" x14ac:dyDescent="0.25">
      <c r="B15" s="72" t="s">
        <v>25</v>
      </c>
      <c r="C15" s="2">
        <v>1.571</v>
      </c>
      <c r="D15" s="2">
        <v>3.903</v>
      </c>
      <c r="E15" s="5">
        <f>D15-C15</f>
        <v>2.3319999999999999</v>
      </c>
      <c r="F15" s="38">
        <v>51.893999999999998</v>
      </c>
      <c r="G15" s="2"/>
      <c r="H15" s="2"/>
      <c r="J15" s="72" t="s">
        <v>48</v>
      </c>
      <c r="K15" s="2">
        <v>2.8450000000000002</v>
      </c>
      <c r="L15" s="38">
        <v>4.2350000000000003</v>
      </c>
    </row>
    <row r="16" spans="2:12" ht="19" x14ac:dyDescent="0.25">
      <c r="B16" s="72" t="s">
        <v>26</v>
      </c>
      <c r="C16" s="2">
        <v>1.177</v>
      </c>
      <c r="D16" s="2">
        <v>12.62</v>
      </c>
      <c r="E16" s="5">
        <f t="shared" ref="E16:E20" si="1">D16-C16</f>
        <v>11.443</v>
      </c>
      <c r="F16" s="38">
        <v>51.335999999999999</v>
      </c>
      <c r="G16" s="2"/>
      <c r="H16" s="2"/>
      <c r="J16" s="72" t="s">
        <v>49</v>
      </c>
      <c r="K16" s="2">
        <v>3.0009999999999998E-2</v>
      </c>
      <c r="L16" s="38">
        <v>3.6640000000000001</v>
      </c>
    </row>
    <row r="17" spans="2:12" ht="19" x14ac:dyDescent="0.25">
      <c r="B17" s="72" t="s">
        <v>27</v>
      </c>
      <c r="C17" s="2">
        <v>0.75290000000000001</v>
      </c>
      <c r="D17" s="2">
        <v>7.742</v>
      </c>
      <c r="E17" s="5">
        <f t="shared" si="1"/>
        <v>6.9890999999999996</v>
      </c>
      <c r="F17" s="38">
        <v>48.267000000000003</v>
      </c>
      <c r="G17" s="2"/>
      <c r="H17" s="2"/>
      <c r="J17" s="72" t="s">
        <v>50</v>
      </c>
      <c r="K17" s="2">
        <v>0.2336</v>
      </c>
      <c r="L17" s="38">
        <v>-5.5190000000000001</v>
      </c>
    </row>
    <row r="18" spans="2:12" ht="19" x14ac:dyDescent="0.25">
      <c r="B18" s="72" t="s">
        <v>36</v>
      </c>
      <c r="C18" s="2">
        <v>-1.2649999999999999</v>
      </c>
      <c r="D18" s="2">
        <v>3.6680000000000001</v>
      </c>
      <c r="E18" s="5">
        <f t="shared" si="1"/>
        <v>4.9329999999999998</v>
      </c>
      <c r="F18" s="38">
        <v>47.569499999999998</v>
      </c>
      <c r="G18" s="2"/>
      <c r="H18" s="2"/>
      <c r="J18" s="72" t="s">
        <v>3</v>
      </c>
      <c r="K18" s="2">
        <v>3.738</v>
      </c>
      <c r="L18" s="38">
        <v>0.3856</v>
      </c>
    </row>
    <row r="19" spans="2:12" ht="19" x14ac:dyDescent="0.25">
      <c r="B19" s="72" t="s">
        <v>28</v>
      </c>
      <c r="C19" s="2">
        <v>-4.1420000000000003</v>
      </c>
      <c r="D19" s="2">
        <v>-2.9569999999999999</v>
      </c>
      <c r="E19" s="5">
        <f t="shared" si="1"/>
        <v>1.1850000000000005</v>
      </c>
      <c r="F19" s="38">
        <v>46.5</v>
      </c>
      <c r="G19" s="2"/>
      <c r="H19" s="2"/>
      <c r="J19" s="72" t="s">
        <v>4</v>
      </c>
      <c r="K19" s="2">
        <v>-3.419</v>
      </c>
      <c r="L19" s="38">
        <v>-0.95820000000000005</v>
      </c>
    </row>
    <row r="20" spans="2:12" ht="20" thickBot="1" x14ac:dyDescent="0.3">
      <c r="B20" s="73" t="s">
        <v>29</v>
      </c>
      <c r="C20" s="3">
        <v>-0.50719999999999998</v>
      </c>
      <c r="D20" s="3">
        <v>14.01</v>
      </c>
      <c r="E20" s="6">
        <f t="shared" si="1"/>
        <v>14.517199999999999</v>
      </c>
      <c r="F20" s="40">
        <v>48.36</v>
      </c>
      <c r="G20" s="2"/>
      <c r="H20" s="2"/>
      <c r="J20" s="72" t="s">
        <v>5</v>
      </c>
      <c r="K20" s="2">
        <v>0.62809999999999999</v>
      </c>
      <c r="L20" s="38">
        <v>1.744</v>
      </c>
    </row>
    <row r="21" spans="2:12" ht="20" thickBot="1" x14ac:dyDescent="0.3">
      <c r="B21" s="36"/>
      <c r="C21" s="2"/>
      <c r="D21" s="2"/>
      <c r="E21" s="5"/>
      <c r="F21" s="2"/>
      <c r="G21" s="2"/>
      <c r="H21" s="2"/>
      <c r="J21" s="73" t="s">
        <v>6</v>
      </c>
      <c r="K21" s="3">
        <v>1.0629999999999999</v>
      </c>
      <c r="L21" s="40">
        <v>2.0230000000000001</v>
      </c>
    </row>
    <row r="22" spans="2:12" ht="20" thickBot="1" x14ac:dyDescent="0.3">
      <c r="B22" s="36"/>
      <c r="C22" s="2"/>
      <c r="D22" s="2"/>
      <c r="E22" s="5"/>
      <c r="F22" s="2"/>
      <c r="G22" s="2"/>
      <c r="H22" s="2"/>
    </row>
    <row r="23" spans="2:12" ht="20" thickBot="1" x14ac:dyDescent="0.3">
      <c r="B23" s="76" t="s">
        <v>37</v>
      </c>
      <c r="C23" s="77"/>
      <c r="D23" s="77"/>
      <c r="E23" s="77"/>
      <c r="F23" s="78"/>
    </row>
    <row r="24" spans="2:12" ht="17" thickBot="1" x14ac:dyDescent="0.25">
      <c r="B24" s="23" t="s">
        <v>0</v>
      </c>
      <c r="C24" s="24" t="s">
        <v>18</v>
      </c>
      <c r="D24" s="24" t="s">
        <v>19</v>
      </c>
      <c r="E24" s="24" t="s">
        <v>31</v>
      </c>
      <c r="F24" s="25" t="s">
        <v>39</v>
      </c>
    </row>
    <row r="25" spans="2:12" ht="19" x14ac:dyDescent="0.25">
      <c r="B25" s="70" t="s">
        <v>1</v>
      </c>
      <c r="C25" s="2">
        <v>-3.5270000000000001</v>
      </c>
      <c r="D25" s="2">
        <v>7.4989999999999997</v>
      </c>
      <c r="E25" s="5">
        <f>D25-C25</f>
        <v>11.026</v>
      </c>
      <c r="F25" s="38">
        <v>3.0034619999999999</v>
      </c>
      <c r="G25" s="36"/>
    </row>
    <row r="26" spans="2:12" ht="19" x14ac:dyDescent="0.25">
      <c r="B26" s="70" t="s">
        <v>4</v>
      </c>
      <c r="C26" s="2">
        <v>-0.57769999999999999</v>
      </c>
      <c r="D26" s="2">
        <v>2.165</v>
      </c>
      <c r="E26" s="2">
        <v>2.7427000000000001</v>
      </c>
      <c r="F26" s="38">
        <v>5.7332000000000001</v>
      </c>
    </row>
    <row r="27" spans="2:12" ht="19" x14ac:dyDescent="0.25">
      <c r="B27" s="70" t="s">
        <v>5</v>
      </c>
      <c r="C27" s="2">
        <v>-0.40189999999999998</v>
      </c>
      <c r="D27" s="2">
        <v>1.4359999999999999</v>
      </c>
      <c r="E27" s="2">
        <v>1.8379000000000001</v>
      </c>
      <c r="F27" s="38">
        <v>7.8319999999999999</v>
      </c>
    </row>
    <row r="28" spans="2:12" ht="19" x14ac:dyDescent="0.25">
      <c r="B28" s="70" t="s">
        <v>6</v>
      </c>
      <c r="C28" s="2">
        <v>3.2330000000000001</v>
      </c>
      <c r="D28" s="2">
        <v>8.9049999999999994</v>
      </c>
      <c r="E28" s="5">
        <f t="shared" ref="E28:E31" si="2">D28-C28</f>
        <v>5.6719999999999988</v>
      </c>
      <c r="F28" s="38">
        <v>6.4013179999999998</v>
      </c>
      <c r="G28" s="36"/>
    </row>
    <row r="29" spans="2:12" ht="19" x14ac:dyDescent="0.25">
      <c r="B29" s="70" t="s">
        <v>40</v>
      </c>
      <c r="C29" s="2">
        <v>-1.9419999999999999</v>
      </c>
      <c r="D29" s="2">
        <v>-2.4150000000000001E-2</v>
      </c>
      <c r="E29" s="5">
        <f t="shared" si="2"/>
        <v>1.9178500000000001</v>
      </c>
      <c r="F29" s="38">
        <v>9.9681999999999995</v>
      </c>
      <c r="G29" s="36"/>
    </row>
    <row r="30" spans="2:12" ht="19" x14ac:dyDescent="0.25">
      <c r="B30" s="70" t="s">
        <v>41</v>
      </c>
      <c r="C30" s="2">
        <v>-0.60270000000000001</v>
      </c>
      <c r="D30" s="2">
        <v>2.0590000000000002</v>
      </c>
      <c r="E30" s="5">
        <f t="shared" si="2"/>
        <v>2.6617000000000002</v>
      </c>
      <c r="F30" s="38">
        <v>4.299328</v>
      </c>
      <c r="G30" s="36"/>
    </row>
    <row r="31" spans="2:12" ht="19" x14ac:dyDescent="0.25">
      <c r="B31" s="70" t="s">
        <v>44</v>
      </c>
      <c r="C31" s="2">
        <v>0.72050000000000003</v>
      </c>
      <c r="D31" s="2">
        <v>6.0880000000000001</v>
      </c>
      <c r="E31" s="5">
        <f t="shared" si="2"/>
        <v>5.3674999999999997</v>
      </c>
      <c r="F31" s="38">
        <v>5.0967840000000004</v>
      </c>
      <c r="G31" s="36"/>
    </row>
    <row r="32" spans="2:12" ht="20" thickBot="1" x14ac:dyDescent="0.3">
      <c r="B32" s="71" t="s">
        <v>45</v>
      </c>
      <c r="C32" s="3">
        <v>0.50109999999999999</v>
      </c>
      <c r="D32" s="3">
        <v>3.8170000000000002</v>
      </c>
      <c r="E32" s="6">
        <f>D32-C32</f>
        <v>3.3159000000000001</v>
      </c>
      <c r="F32" s="40">
        <v>6.5096679999999996</v>
      </c>
      <c r="G32" s="36"/>
    </row>
    <row r="34" spans="2:6" ht="17" thickBot="1" x14ac:dyDescent="0.25"/>
    <row r="35" spans="2:6" ht="20" thickBot="1" x14ac:dyDescent="0.3">
      <c r="B35" s="76" t="s">
        <v>156</v>
      </c>
      <c r="C35" s="77"/>
      <c r="D35" s="77"/>
      <c r="E35" s="77"/>
      <c r="F35" s="78"/>
    </row>
    <row r="36" spans="2:6" ht="17" thickBot="1" x14ac:dyDescent="0.25">
      <c r="B36" s="23" t="s">
        <v>0</v>
      </c>
      <c r="C36" s="24" t="s">
        <v>18</v>
      </c>
      <c r="D36" s="24" t="s">
        <v>19</v>
      </c>
      <c r="E36" s="24" t="s">
        <v>31</v>
      </c>
      <c r="F36" s="25" t="s">
        <v>42</v>
      </c>
    </row>
    <row r="37" spans="2:6" ht="19" x14ac:dyDescent="0.25">
      <c r="B37" s="70" t="s">
        <v>43</v>
      </c>
      <c r="C37" s="2">
        <v>-1.202</v>
      </c>
      <c r="D37" s="2">
        <v>-0.75039999999999996</v>
      </c>
      <c r="E37" s="2">
        <v>0.4516</v>
      </c>
      <c r="F37" s="38">
        <v>8.11</v>
      </c>
    </row>
    <row r="38" spans="2:6" ht="19" x14ac:dyDescent="0.25">
      <c r="B38" s="70" t="s">
        <v>40</v>
      </c>
      <c r="C38" s="2">
        <v>-2.1160000000000001</v>
      </c>
      <c r="D38" s="2">
        <v>-0.75039999999999996</v>
      </c>
      <c r="E38" s="2">
        <v>1.3655999999999999</v>
      </c>
      <c r="F38" s="38">
        <v>5.7</v>
      </c>
    </row>
    <row r="39" spans="2:6" ht="19" x14ac:dyDescent="0.25">
      <c r="B39" s="70" t="s">
        <v>44</v>
      </c>
      <c r="C39" s="2">
        <v>0.86899999999999999</v>
      </c>
      <c r="D39" s="2">
        <v>3.7490000000000001</v>
      </c>
      <c r="E39" s="2">
        <v>2.88</v>
      </c>
      <c r="F39" s="38">
        <v>5.21</v>
      </c>
    </row>
    <row r="40" spans="2:6" ht="19" x14ac:dyDescent="0.25">
      <c r="B40" s="70" t="s">
        <v>45</v>
      </c>
      <c r="C40" s="2">
        <v>1.337</v>
      </c>
      <c r="D40" s="2">
        <v>-1.419</v>
      </c>
      <c r="E40" s="2">
        <v>-2.7559999999999998</v>
      </c>
      <c r="F40" s="38">
        <v>2.39</v>
      </c>
    </row>
    <row r="41" spans="2:6" ht="19" x14ac:dyDescent="0.25">
      <c r="B41" s="70" t="s">
        <v>46</v>
      </c>
      <c r="C41" s="2">
        <v>0.48559999999999998</v>
      </c>
      <c r="D41" s="2">
        <v>2.6509999999999998</v>
      </c>
      <c r="E41" s="2">
        <v>2.1654</v>
      </c>
      <c r="F41" s="38">
        <v>10.77</v>
      </c>
    </row>
    <row r="42" spans="2:6" ht="19" x14ac:dyDescent="0.25">
      <c r="B42" s="70" t="s">
        <v>47</v>
      </c>
      <c r="C42" s="2">
        <v>-2.4990000000000001</v>
      </c>
      <c r="D42" s="2">
        <v>-6.407</v>
      </c>
      <c r="E42" s="2">
        <v>-3.9079999999999999</v>
      </c>
      <c r="F42" s="38">
        <v>0.48</v>
      </c>
    </row>
    <row r="43" spans="2:6" ht="20" thickBot="1" x14ac:dyDescent="0.3">
      <c r="B43" s="71" t="s">
        <v>41</v>
      </c>
      <c r="C43" s="3">
        <v>-3.05</v>
      </c>
      <c r="D43" s="3">
        <v>-1.8120000000000001</v>
      </c>
      <c r="E43" s="3">
        <v>1.238</v>
      </c>
      <c r="F43" s="40">
        <v>1.4</v>
      </c>
    </row>
  </sheetData>
  <mergeCells count="6">
    <mergeCell ref="B35:F35"/>
    <mergeCell ref="J13:L13"/>
    <mergeCell ref="B2:H2"/>
    <mergeCell ref="J2:L2"/>
    <mergeCell ref="B13:F13"/>
    <mergeCell ref="B23:F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49E42-765B-8A4B-B4C1-301C52570615}">
  <dimension ref="B1:J20"/>
  <sheetViews>
    <sheetView workbookViewId="0">
      <selection activeCell="B4" sqref="B4:B7"/>
    </sheetView>
  </sheetViews>
  <sheetFormatPr baseColWidth="10" defaultRowHeight="16" x14ac:dyDescent="0.2"/>
  <cols>
    <col min="1" max="1" width="10.83203125" style="1"/>
    <col min="2" max="2" width="9.1640625" style="1" bestFit="1" customWidth="1"/>
    <col min="3" max="3" width="17" style="1" bestFit="1" customWidth="1"/>
    <col min="4" max="4" width="17.83203125" style="1" bestFit="1" customWidth="1"/>
    <col min="5" max="5" width="18.83203125" style="1" bestFit="1" customWidth="1"/>
    <col min="6" max="6" width="16.6640625" style="1" bestFit="1" customWidth="1"/>
    <col min="7" max="9" width="17.6640625" style="1" bestFit="1" customWidth="1"/>
    <col min="10" max="10" width="19.33203125" style="1" bestFit="1" customWidth="1"/>
    <col min="11" max="16384" width="10.83203125" style="1"/>
  </cols>
  <sheetData>
    <row r="1" spans="2:10" ht="17" thickBot="1" x14ac:dyDescent="0.25"/>
    <row r="2" spans="2:10" ht="20" thickBot="1" x14ac:dyDescent="0.3">
      <c r="B2" s="76" t="s">
        <v>51</v>
      </c>
      <c r="C2" s="77"/>
      <c r="D2" s="77"/>
      <c r="E2" s="77"/>
      <c r="F2" s="77"/>
      <c r="G2" s="77"/>
      <c r="H2" s="77"/>
      <c r="I2" s="77"/>
      <c r="J2" s="78"/>
    </row>
    <row r="3" spans="2:10" ht="17" thickBot="1" x14ac:dyDescent="0.25">
      <c r="B3" s="23" t="s">
        <v>0</v>
      </c>
      <c r="C3" s="24" t="s">
        <v>52</v>
      </c>
      <c r="D3" s="24" t="s">
        <v>53</v>
      </c>
      <c r="E3" s="24" t="s">
        <v>31</v>
      </c>
      <c r="F3" s="24" t="s">
        <v>58</v>
      </c>
      <c r="G3" s="24" t="s">
        <v>59</v>
      </c>
      <c r="H3" s="24" t="s">
        <v>60</v>
      </c>
      <c r="I3" s="24" t="s">
        <v>61</v>
      </c>
      <c r="J3" s="25" t="s">
        <v>62</v>
      </c>
    </row>
    <row r="4" spans="2:10" ht="19" x14ac:dyDescent="0.25">
      <c r="B4" s="8" t="s">
        <v>48</v>
      </c>
      <c r="C4" s="4">
        <v>-4.2590000000000003</v>
      </c>
      <c r="D4" s="4">
        <v>-9.8019999999999996</v>
      </c>
      <c r="E4" s="4">
        <v>-5.5430000000000001</v>
      </c>
      <c r="F4" s="4">
        <v>85</v>
      </c>
      <c r="G4" s="4">
        <v>249</v>
      </c>
      <c r="H4" s="4">
        <v>150</v>
      </c>
      <c r="I4" s="4">
        <v>125</v>
      </c>
      <c r="J4" s="32">
        <v>164</v>
      </c>
    </row>
    <row r="5" spans="2:10" ht="19" x14ac:dyDescent="0.25">
      <c r="B5" s="8" t="s">
        <v>50</v>
      </c>
      <c r="C5" s="4">
        <v>2.0920000000000001</v>
      </c>
      <c r="D5" s="4">
        <v>-10.76</v>
      </c>
      <c r="E5" s="4">
        <v>-12.852</v>
      </c>
      <c r="F5" s="4">
        <v>128</v>
      </c>
      <c r="G5" s="4">
        <v>265</v>
      </c>
      <c r="H5" s="4">
        <v>300</v>
      </c>
      <c r="I5" s="4">
        <v>274</v>
      </c>
      <c r="J5" s="32">
        <v>137</v>
      </c>
    </row>
    <row r="6" spans="2:10" ht="19" x14ac:dyDescent="0.25">
      <c r="B6" s="8" t="s">
        <v>3</v>
      </c>
      <c r="C6" s="4">
        <v>-1.358E-2</v>
      </c>
      <c r="D6" s="4">
        <v>-5.4240000000000004</v>
      </c>
      <c r="E6" s="4">
        <v>-5.4104200000000002</v>
      </c>
      <c r="F6" s="4">
        <v>143</v>
      </c>
      <c r="G6" s="4">
        <v>334</v>
      </c>
      <c r="H6" s="4">
        <v>329</v>
      </c>
      <c r="I6" s="4">
        <v>304</v>
      </c>
      <c r="J6" s="32">
        <v>191</v>
      </c>
    </row>
    <row r="7" spans="2:10" ht="19" x14ac:dyDescent="0.25">
      <c r="B7" s="8" t="s">
        <v>4</v>
      </c>
      <c r="C7" s="4">
        <v>-3.2949999999999999</v>
      </c>
      <c r="D7" s="4">
        <v>5.9009999999999998</v>
      </c>
      <c r="E7" s="4">
        <v>9.1959999999999997</v>
      </c>
      <c r="F7" s="4">
        <v>105</v>
      </c>
      <c r="G7" s="4">
        <v>293</v>
      </c>
      <c r="H7" s="4">
        <v>276</v>
      </c>
      <c r="I7" s="4">
        <v>230</v>
      </c>
      <c r="J7" s="32">
        <v>188</v>
      </c>
    </row>
    <row r="8" spans="2:10" ht="19" x14ac:dyDescent="0.25">
      <c r="B8" s="8" t="s">
        <v>5</v>
      </c>
      <c r="C8" s="4">
        <v>-2.883</v>
      </c>
      <c r="D8" s="4">
        <v>-4.149</v>
      </c>
      <c r="E8" s="4">
        <v>-1.266</v>
      </c>
      <c r="F8" s="4">
        <v>127</v>
      </c>
      <c r="G8" s="4">
        <v>242</v>
      </c>
      <c r="H8" s="4">
        <v>214</v>
      </c>
      <c r="I8" s="4">
        <v>202</v>
      </c>
      <c r="J8" s="32">
        <v>115</v>
      </c>
    </row>
    <row r="9" spans="2:10" ht="20" thickBot="1" x14ac:dyDescent="0.3">
      <c r="B9" s="9" t="s">
        <v>6</v>
      </c>
      <c r="C9" s="61">
        <v>-4.0259999999999998</v>
      </c>
      <c r="D9" s="61">
        <v>10.25</v>
      </c>
      <c r="E9" s="61">
        <v>14.276</v>
      </c>
      <c r="F9" s="61">
        <v>129</v>
      </c>
      <c r="G9" s="61">
        <v>271</v>
      </c>
      <c r="H9" s="61">
        <v>252</v>
      </c>
      <c r="I9" s="61">
        <v>219</v>
      </c>
      <c r="J9" s="60">
        <v>142</v>
      </c>
    </row>
    <row r="11" spans="2:10" ht="17" thickBot="1" x14ac:dyDescent="0.25"/>
    <row r="12" spans="2:10" ht="20" thickBot="1" x14ac:dyDescent="0.3">
      <c r="B12" s="76" t="s">
        <v>7</v>
      </c>
      <c r="C12" s="77"/>
      <c r="D12" s="78"/>
      <c r="E12" s="14"/>
      <c r="F12" s="76" t="s">
        <v>57</v>
      </c>
      <c r="G12" s="77"/>
      <c r="H12" s="78"/>
      <c r="I12" s="14"/>
      <c r="J12" s="14"/>
    </row>
    <row r="13" spans="2:10" ht="17" thickBot="1" x14ac:dyDescent="0.25">
      <c r="B13" s="23" t="s">
        <v>0</v>
      </c>
      <c r="C13" s="24" t="s">
        <v>52</v>
      </c>
      <c r="D13" s="25" t="s">
        <v>53</v>
      </c>
      <c r="F13" s="26" t="s">
        <v>0</v>
      </c>
      <c r="G13" s="27" t="s">
        <v>52</v>
      </c>
      <c r="H13" s="28" t="s">
        <v>53</v>
      </c>
    </row>
    <row r="14" spans="2:10" ht="19" x14ac:dyDescent="0.25">
      <c r="B14" s="8" t="s">
        <v>54</v>
      </c>
      <c r="C14" s="4">
        <v>2.2010000000000001</v>
      </c>
      <c r="D14" s="32">
        <v>5.3550000000000004</v>
      </c>
      <c r="E14" s="2"/>
      <c r="F14" s="8" t="s">
        <v>43</v>
      </c>
      <c r="G14" s="4">
        <v>-1.9119999999999999</v>
      </c>
      <c r="H14" s="32">
        <v>9.4589999999999996</v>
      </c>
      <c r="I14" s="2"/>
      <c r="J14" s="2"/>
    </row>
    <row r="15" spans="2:10" ht="19" x14ac:dyDescent="0.25">
      <c r="B15" s="8" t="s">
        <v>43</v>
      </c>
      <c r="C15" s="4">
        <v>-3.9239999999999999</v>
      </c>
      <c r="D15" s="32">
        <v>-1.5660000000000001</v>
      </c>
      <c r="E15" s="2"/>
      <c r="F15" s="8" t="s">
        <v>40</v>
      </c>
      <c r="G15" s="4">
        <v>0.92500000000000004</v>
      </c>
      <c r="H15" s="32">
        <v>2.0249999999999999</v>
      </c>
      <c r="I15" s="2"/>
      <c r="J15" s="2"/>
    </row>
    <row r="16" spans="2:10" ht="19" x14ac:dyDescent="0.25">
      <c r="B16" s="8" t="s">
        <v>40</v>
      </c>
      <c r="C16" s="4">
        <v>-2.4870000000000001</v>
      </c>
      <c r="D16" s="32">
        <v>-8.6720000000000006</v>
      </c>
      <c r="E16" s="2"/>
      <c r="F16" s="8" t="s">
        <v>44</v>
      </c>
      <c r="G16" s="4">
        <v>1.8630000000000001E-2</v>
      </c>
      <c r="H16" s="32">
        <v>3.8730000000000002</v>
      </c>
      <c r="I16" s="2"/>
      <c r="J16" s="2"/>
    </row>
    <row r="17" spans="2:10" ht="19" x14ac:dyDescent="0.25">
      <c r="B17" s="8" t="s">
        <v>45</v>
      </c>
      <c r="C17" s="4">
        <v>-0.51190000000000002</v>
      </c>
      <c r="D17" s="32">
        <v>4.375</v>
      </c>
      <c r="E17" s="2"/>
      <c r="F17" s="8" t="s">
        <v>45</v>
      </c>
      <c r="G17" s="4">
        <v>-2.355</v>
      </c>
      <c r="H17" s="32">
        <v>1.782</v>
      </c>
      <c r="I17" s="2"/>
      <c r="J17" s="2"/>
    </row>
    <row r="18" spans="2:10" ht="19" x14ac:dyDescent="0.25">
      <c r="B18" s="8" t="s">
        <v>46</v>
      </c>
      <c r="C18" s="4">
        <v>-2.532</v>
      </c>
      <c r="D18" s="32">
        <v>5.7119999999999997</v>
      </c>
      <c r="E18" s="2"/>
      <c r="F18" s="8" t="s">
        <v>46</v>
      </c>
      <c r="G18" s="4">
        <v>-2.556</v>
      </c>
      <c r="H18" s="32">
        <v>3.1829999999999998</v>
      </c>
      <c r="I18" s="2"/>
      <c r="J18" s="2"/>
    </row>
    <row r="19" spans="2:10" ht="19" x14ac:dyDescent="0.25">
      <c r="B19" s="8" t="s">
        <v>55</v>
      </c>
      <c r="C19" s="4">
        <v>3.0539999999999998</v>
      </c>
      <c r="D19" s="32">
        <v>0.56079999999999997</v>
      </c>
      <c r="E19" s="2"/>
      <c r="F19" s="8" t="s">
        <v>55</v>
      </c>
      <c r="G19" s="4">
        <v>0.31979999999999997</v>
      </c>
      <c r="H19" s="32">
        <v>-3.6629999999999998</v>
      </c>
      <c r="I19" s="2"/>
      <c r="J19" s="2"/>
    </row>
    <row r="20" spans="2:10" ht="20" thickBot="1" x14ac:dyDescent="0.3">
      <c r="B20" s="9" t="s">
        <v>56</v>
      </c>
      <c r="C20" s="61">
        <v>-0.72529999999999994</v>
      </c>
      <c r="D20" s="60">
        <v>6.9349999999999996</v>
      </c>
      <c r="F20" s="9" t="s">
        <v>56</v>
      </c>
      <c r="G20" s="61">
        <v>-2.2490000000000001</v>
      </c>
      <c r="H20" s="60">
        <v>-6.2679999999999998</v>
      </c>
    </row>
  </sheetData>
  <mergeCells count="3">
    <mergeCell ref="B2:J2"/>
    <mergeCell ref="B12:D12"/>
    <mergeCell ref="F12:H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E9327-8E9C-4148-8C66-9E95987B9283}">
  <dimension ref="B1:AG36"/>
  <sheetViews>
    <sheetView topLeftCell="A8" workbookViewId="0">
      <selection activeCell="C14" sqref="C14:L14"/>
    </sheetView>
  </sheetViews>
  <sheetFormatPr baseColWidth="10" defaultRowHeight="16" x14ac:dyDescent="0.2"/>
  <cols>
    <col min="1" max="1" width="10.83203125" style="1"/>
    <col min="2" max="2" width="13" style="1" customWidth="1"/>
    <col min="3" max="10" width="7.83203125" style="1" bestFit="1" customWidth="1"/>
    <col min="11" max="11" width="6.5" style="1" bestFit="1" customWidth="1"/>
    <col min="12" max="12" width="7.83203125" style="1" bestFit="1" customWidth="1"/>
    <col min="13" max="13" width="3.33203125" style="1" customWidth="1"/>
    <col min="14" max="16" width="6.5" style="1" bestFit="1" customWidth="1"/>
    <col min="17" max="17" width="7.83203125" style="1" bestFit="1" customWidth="1"/>
    <col min="18" max="18" width="6.5" style="1" bestFit="1" customWidth="1"/>
    <col min="19" max="19" width="7.83203125" style="1" bestFit="1" customWidth="1"/>
    <col min="20" max="22" width="6.5" style="1" bestFit="1" customWidth="1"/>
    <col min="23" max="23" width="7.83203125" style="1" bestFit="1" customWidth="1"/>
    <col min="24" max="16384" width="10.83203125" style="1"/>
  </cols>
  <sheetData>
    <row r="1" spans="2:33" ht="17" thickBot="1" x14ac:dyDescent="0.25"/>
    <row r="2" spans="2:33" ht="20" thickBot="1" x14ac:dyDescent="0.3">
      <c r="B2" s="48" t="s">
        <v>82</v>
      </c>
      <c r="C2" s="94" t="s">
        <v>63</v>
      </c>
      <c r="D2" s="95"/>
      <c r="E2" s="95"/>
      <c r="F2" s="95"/>
      <c r="G2" s="95"/>
      <c r="H2" s="95"/>
      <c r="I2" s="95"/>
      <c r="J2" s="95"/>
      <c r="K2" s="95"/>
      <c r="L2" s="96"/>
      <c r="N2" s="100" t="s">
        <v>64</v>
      </c>
      <c r="O2" s="101"/>
      <c r="P2" s="101"/>
      <c r="Q2" s="101"/>
      <c r="R2" s="101"/>
      <c r="S2" s="101"/>
      <c r="T2" s="101"/>
      <c r="U2" s="101"/>
      <c r="V2" s="101"/>
      <c r="W2" s="102"/>
    </row>
    <row r="3" spans="2:33" ht="20" thickBot="1" x14ac:dyDescent="0.3">
      <c r="B3" s="36" t="s">
        <v>0</v>
      </c>
      <c r="C3" s="17" t="s">
        <v>68</v>
      </c>
      <c r="D3" s="18" t="s">
        <v>69</v>
      </c>
      <c r="E3" s="18" t="s">
        <v>70</v>
      </c>
      <c r="F3" s="18" t="s">
        <v>71</v>
      </c>
      <c r="G3" s="18" t="s">
        <v>72</v>
      </c>
      <c r="H3" s="18" t="s">
        <v>73</v>
      </c>
      <c r="I3" s="18" t="s">
        <v>74</v>
      </c>
      <c r="J3" s="18" t="s">
        <v>75</v>
      </c>
      <c r="K3" s="18" t="s">
        <v>76</v>
      </c>
      <c r="L3" s="19" t="s">
        <v>77</v>
      </c>
      <c r="M3" s="16"/>
      <c r="N3" s="17" t="s">
        <v>68</v>
      </c>
      <c r="O3" s="18" t="s">
        <v>69</v>
      </c>
      <c r="P3" s="18" t="s">
        <v>70</v>
      </c>
      <c r="Q3" s="18" t="s">
        <v>71</v>
      </c>
      <c r="R3" s="18" t="s">
        <v>72</v>
      </c>
      <c r="S3" s="18" t="s">
        <v>73</v>
      </c>
      <c r="T3" s="18" t="s">
        <v>74</v>
      </c>
      <c r="U3" s="18" t="s">
        <v>75</v>
      </c>
      <c r="V3" s="18" t="s">
        <v>76</v>
      </c>
      <c r="W3" s="19" t="s">
        <v>77</v>
      </c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2:33" ht="20" thickBot="1" x14ac:dyDescent="0.3">
      <c r="B4" s="48"/>
      <c r="C4" s="97" t="s">
        <v>78</v>
      </c>
      <c r="D4" s="98"/>
      <c r="E4" s="98"/>
      <c r="F4" s="98"/>
      <c r="G4" s="98"/>
      <c r="H4" s="98"/>
      <c r="I4" s="98"/>
      <c r="J4" s="98"/>
      <c r="K4" s="98"/>
      <c r="L4" s="99"/>
      <c r="M4" s="4"/>
      <c r="N4" s="88" t="s">
        <v>78</v>
      </c>
      <c r="O4" s="89"/>
      <c r="P4" s="89"/>
      <c r="Q4" s="89"/>
      <c r="R4" s="89"/>
      <c r="S4" s="89"/>
      <c r="T4" s="89"/>
      <c r="U4" s="89"/>
      <c r="V4" s="89"/>
      <c r="W4" s="90"/>
    </row>
    <row r="5" spans="2:33" ht="19" x14ac:dyDescent="0.25">
      <c r="B5" s="36" t="s">
        <v>65</v>
      </c>
      <c r="C5" s="31">
        <v>4.0199999999999996</v>
      </c>
      <c r="D5" s="2">
        <v>3.03</v>
      </c>
      <c r="E5" s="2">
        <v>2.29</v>
      </c>
      <c r="F5" s="2">
        <v>3.43</v>
      </c>
      <c r="G5" s="2">
        <v>3.64</v>
      </c>
      <c r="H5" s="2">
        <v>3.42</v>
      </c>
      <c r="I5" s="2">
        <v>2.92</v>
      </c>
      <c r="J5" s="2">
        <v>3.91</v>
      </c>
      <c r="K5" s="2">
        <v>2</v>
      </c>
      <c r="L5" s="38">
        <v>4.46</v>
      </c>
      <c r="M5" s="2"/>
      <c r="N5" s="31">
        <v>3.6</v>
      </c>
      <c r="O5" s="2">
        <v>2.86</v>
      </c>
      <c r="P5" s="2">
        <v>1.4</v>
      </c>
      <c r="Q5" s="2">
        <v>4.1100000000000003</v>
      </c>
      <c r="R5" s="2">
        <v>5.98</v>
      </c>
      <c r="S5" s="2">
        <v>3.53</v>
      </c>
      <c r="T5" s="2">
        <v>3.28</v>
      </c>
      <c r="U5" s="2">
        <v>2.2599999999999998</v>
      </c>
      <c r="V5" s="2">
        <v>2.21</v>
      </c>
      <c r="W5" s="38">
        <v>3.58</v>
      </c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2:33" ht="19" x14ac:dyDescent="0.25">
      <c r="B6" s="36" t="s">
        <v>66</v>
      </c>
      <c r="C6" s="31">
        <v>4.04</v>
      </c>
      <c r="D6" s="2">
        <v>4.67</v>
      </c>
      <c r="E6" s="2">
        <v>5.41</v>
      </c>
      <c r="F6" s="2">
        <v>7.45</v>
      </c>
      <c r="G6" s="2">
        <v>6.71</v>
      </c>
      <c r="H6" s="2">
        <v>7.7</v>
      </c>
      <c r="I6" s="2">
        <v>4.74</v>
      </c>
      <c r="J6" s="2">
        <v>5.36</v>
      </c>
      <c r="K6" s="2">
        <v>3.59</v>
      </c>
      <c r="L6" s="38">
        <v>8.1</v>
      </c>
      <c r="M6" s="2"/>
      <c r="N6" s="31">
        <v>4.58</v>
      </c>
      <c r="O6" s="2">
        <v>3.86</v>
      </c>
      <c r="P6" s="2">
        <v>2.35</v>
      </c>
      <c r="Q6" s="2">
        <v>4.1100000000000003</v>
      </c>
      <c r="R6" s="2">
        <v>5.98</v>
      </c>
      <c r="S6" s="2">
        <v>5.93</v>
      </c>
      <c r="T6" s="2">
        <v>3.28</v>
      </c>
      <c r="U6" s="2">
        <v>5.39</v>
      </c>
      <c r="V6" s="2">
        <v>3.66</v>
      </c>
      <c r="W6" s="38">
        <v>6.42</v>
      </c>
      <c r="X6" s="2"/>
      <c r="Y6" s="2"/>
      <c r="Z6" s="2"/>
      <c r="AA6" s="2"/>
      <c r="AB6" s="2"/>
      <c r="AC6" s="2"/>
      <c r="AD6" s="2"/>
      <c r="AE6" s="2"/>
      <c r="AF6" s="2"/>
      <c r="AG6" s="2"/>
    </row>
    <row r="7" spans="2:33" ht="20" thickBot="1" x14ac:dyDescent="0.3">
      <c r="B7" s="36" t="s">
        <v>67</v>
      </c>
      <c r="C7" s="39">
        <v>11.16</v>
      </c>
      <c r="D7" s="3">
        <v>11.04</v>
      </c>
      <c r="E7" s="3">
        <v>11.29</v>
      </c>
      <c r="F7" s="3">
        <v>15.61</v>
      </c>
      <c r="G7" s="3">
        <v>12.92</v>
      </c>
      <c r="H7" s="3">
        <v>10.81</v>
      </c>
      <c r="I7" s="3">
        <v>13.54</v>
      </c>
      <c r="J7" s="3">
        <v>10.77</v>
      </c>
      <c r="K7" s="3">
        <v>7.54</v>
      </c>
      <c r="L7" s="40">
        <v>14.34</v>
      </c>
      <c r="M7" s="2"/>
      <c r="N7" s="39">
        <v>6.13</v>
      </c>
      <c r="O7" s="3">
        <v>6.71</v>
      </c>
      <c r="P7" s="3">
        <v>8.9700000000000006</v>
      </c>
      <c r="Q7" s="3">
        <v>10.57</v>
      </c>
      <c r="R7" s="3">
        <v>9.08</v>
      </c>
      <c r="S7" s="3">
        <v>14.01</v>
      </c>
      <c r="T7" s="3">
        <v>9.9600000000000009</v>
      </c>
      <c r="U7" s="3">
        <v>8.2899999999999991</v>
      </c>
      <c r="V7" s="3">
        <v>7.67</v>
      </c>
      <c r="W7" s="40">
        <v>11.07</v>
      </c>
      <c r="X7" s="2"/>
      <c r="Y7" s="2"/>
      <c r="Z7" s="2"/>
      <c r="AA7" s="2"/>
      <c r="AB7" s="2"/>
      <c r="AC7" s="2"/>
      <c r="AD7" s="2"/>
      <c r="AE7" s="2"/>
      <c r="AF7" s="2"/>
      <c r="AG7" s="2"/>
    </row>
    <row r="8" spans="2:33" ht="17" thickBot="1" x14ac:dyDescent="0.25">
      <c r="B8" s="48"/>
    </row>
    <row r="9" spans="2:33" ht="20" thickBot="1" x14ac:dyDescent="0.3">
      <c r="B9" s="36"/>
      <c r="C9" s="88" t="s">
        <v>79</v>
      </c>
      <c r="D9" s="89"/>
      <c r="E9" s="89"/>
      <c r="F9" s="89"/>
      <c r="G9" s="89"/>
      <c r="H9" s="89"/>
      <c r="I9" s="89"/>
      <c r="J9" s="89"/>
      <c r="K9" s="89"/>
      <c r="L9" s="90"/>
      <c r="N9" s="88" t="s">
        <v>80</v>
      </c>
      <c r="O9" s="89"/>
      <c r="P9" s="89"/>
      <c r="Q9" s="89"/>
      <c r="R9" s="89"/>
      <c r="S9" s="89"/>
      <c r="T9" s="89"/>
      <c r="U9" s="89"/>
      <c r="V9" s="89"/>
      <c r="W9" s="90"/>
    </row>
    <row r="10" spans="2:33" ht="19" x14ac:dyDescent="0.25">
      <c r="B10" s="36" t="s">
        <v>65</v>
      </c>
      <c r="C10" s="31">
        <v>1</v>
      </c>
      <c r="D10" s="2">
        <v>1</v>
      </c>
      <c r="E10" s="2">
        <v>1</v>
      </c>
      <c r="F10" s="2">
        <v>2</v>
      </c>
      <c r="G10" s="2">
        <v>2</v>
      </c>
      <c r="H10" s="2">
        <v>1</v>
      </c>
      <c r="I10" s="2">
        <v>1</v>
      </c>
      <c r="J10" s="2">
        <v>2</v>
      </c>
      <c r="K10" s="2">
        <v>1</v>
      </c>
      <c r="L10" s="38">
        <v>1</v>
      </c>
      <c r="M10" s="2"/>
      <c r="N10" s="31">
        <v>2</v>
      </c>
      <c r="O10" s="2">
        <v>1</v>
      </c>
      <c r="P10" s="2">
        <v>1</v>
      </c>
      <c r="Q10" s="2">
        <v>1</v>
      </c>
      <c r="R10" s="2">
        <v>1</v>
      </c>
      <c r="S10" s="2">
        <v>1</v>
      </c>
      <c r="T10" s="2">
        <v>1</v>
      </c>
      <c r="U10" s="2">
        <v>1</v>
      </c>
      <c r="V10" s="2">
        <v>1</v>
      </c>
      <c r="W10" s="38">
        <v>1</v>
      </c>
    </row>
    <row r="11" spans="2:33" ht="19" x14ac:dyDescent="0.25">
      <c r="B11" s="36" t="s">
        <v>66</v>
      </c>
      <c r="C11" s="31">
        <v>1</v>
      </c>
      <c r="D11" s="2">
        <v>2</v>
      </c>
      <c r="E11" s="2">
        <v>2</v>
      </c>
      <c r="F11" s="2">
        <v>3</v>
      </c>
      <c r="G11" s="2">
        <v>3</v>
      </c>
      <c r="H11" s="2">
        <v>2</v>
      </c>
      <c r="I11" s="2">
        <v>1</v>
      </c>
      <c r="J11" s="2">
        <v>3</v>
      </c>
      <c r="K11" s="2">
        <v>2</v>
      </c>
      <c r="L11" s="38">
        <v>2</v>
      </c>
      <c r="M11" s="2"/>
      <c r="N11" s="31">
        <v>2</v>
      </c>
      <c r="O11" s="2">
        <v>2</v>
      </c>
      <c r="P11" s="2">
        <v>2</v>
      </c>
      <c r="Q11" s="2">
        <v>2</v>
      </c>
      <c r="R11" s="2">
        <v>1</v>
      </c>
      <c r="S11" s="2">
        <v>2</v>
      </c>
      <c r="T11" s="2">
        <v>1</v>
      </c>
      <c r="U11" s="2">
        <v>2</v>
      </c>
      <c r="V11" s="2">
        <v>2</v>
      </c>
      <c r="W11" s="38">
        <v>2</v>
      </c>
    </row>
    <row r="12" spans="2:33" ht="20" thickBot="1" x14ac:dyDescent="0.3">
      <c r="B12" s="36" t="s">
        <v>67</v>
      </c>
      <c r="C12" s="39">
        <v>4</v>
      </c>
      <c r="D12" s="3">
        <v>4</v>
      </c>
      <c r="E12" s="3">
        <v>4</v>
      </c>
      <c r="F12" s="3">
        <v>6</v>
      </c>
      <c r="G12" s="3">
        <v>4</v>
      </c>
      <c r="H12" s="3">
        <v>3</v>
      </c>
      <c r="I12" s="3">
        <v>3</v>
      </c>
      <c r="J12" s="3">
        <v>5</v>
      </c>
      <c r="K12" s="3">
        <v>4</v>
      </c>
      <c r="L12" s="40">
        <v>3</v>
      </c>
      <c r="M12" s="2"/>
      <c r="N12" s="39">
        <v>3</v>
      </c>
      <c r="O12" s="3">
        <v>3</v>
      </c>
      <c r="P12" s="3">
        <v>4</v>
      </c>
      <c r="Q12" s="3">
        <v>4</v>
      </c>
      <c r="R12" s="3">
        <v>2</v>
      </c>
      <c r="S12" s="3">
        <v>3</v>
      </c>
      <c r="T12" s="3">
        <v>4</v>
      </c>
      <c r="U12" s="3">
        <v>4</v>
      </c>
      <c r="V12" s="3">
        <v>4</v>
      </c>
      <c r="W12" s="40">
        <v>4</v>
      </c>
    </row>
    <row r="13" spans="2:33" ht="17" thickBot="1" x14ac:dyDescent="0.25">
      <c r="B13" s="48"/>
    </row>
    <row r="14" spans="2:33" ht="20" thickBot="1" x14ac:dyDescent="0.3">
      <c r="B14" s="36"/>
      <c r="C14" s="88" t="s">
        <v>81</v>
      </c>
      <c r="D14" s="89"/>
      <c r="E14" s="89"/>
      <c r="F14" s="89"/>
      <c r="G14" s="89"/>
      <c r="H14" s="89"/>
      <c r="I14" s="89"/>
      <c r="J14" s="89"/>
      <c r="K14" s="89"/>
      <c r="L14" s="90"/>
      <c r="N14" s="88" t="s">
        <v>81</v>
      </c>
      <c r="O14" s="89"/>
      <c r="P14" s="89"/>
      <c r="Q14" s="89"/>
      <c r="R14" s="89"/>
      <c r="S14" s="89"/>
      <c r="T14" s="89"/>
      <c r="U14" s="89"/>
      <c r="V14" s="89"/>
      <c r="W14" s="90"/>
    </row>
    <row r="15" spans="2:33" ht="19" x14ac:dyDescent="0.25">
      <c r="B15" s="36" t="s">
        <v>65</v>
      </c>
      <c r="C15" s="31">
        <v>4.04</v>
      </c>
      <c r="D15" s="2">
        <v>3.04</v>
      </c>
      <c r="E15" s="2">
        <v>2.29</v>
      </c>
      <c r="F15" s="2">
        <v>2.73</v>
      </c>
      <c r="G15" s="2">
        <v>1.82</v>
      </c>
      <c r="H15" s="2">
        <v>3.38</v>
      </c>
      <c r="I15" s="2">
        <v>4.75</v>
      </c>
      <c r="J15" s="2">
        <v>1.9950000000000001</v>
      </c>
      <c r="K15" s="2">
        <v>1.98</v>
      </c>
      <c r="L15" s="38">
        <v>4.46</v>
      </c>
      <c r="M15" s="2"/>
      <c r="N15" s="31">
        <v>2.2799999999999998</v>
      </c>
      <c r="O15" s="2">
        <v>2.83</v>
      </c>
      <c r="P15" s="2">
        <v>1.41</v>
      </c>
      <c r="Q15" s="2">
        <v>4.09</v>
      </c>
      <c r="R15" s="2">
        <v>5.96</v>
      </c>
      <c r="S15" s="2">
        <v>3.53</v>
      </c>
      <c r="T15" s="2">
        <v>3.26</v>
      </c>
      <c r="U15" s="2">
        <v>2.2000000000000002</v>
      </c>
      <c r="V15" s="2">
        <v>2.21</v>
      </c>
      <c r="W15" s="38">
        <v>3.54</v>
      </c>
    </row>
    <row r="16" spans="2:33" ht="19" x14ac:dyDescent="0.25">
      <c r="B16" s="36" t="s">
        <v>66</v>
      </c>
      <c r="C16" s="31">
        <v>4.04</v>
      </c>
      <c r="D16" s="2">
        <v>2.9950000000000001</v>
      </c>
      <c r="E16" s="2">
        <v>2.7050000000000001</v>
      </c>
      <c r="F16" s="2">
        <v>2.483333</v>
      </c>
      <c r="G16" s="2">
        <v>2.2366670000000002</v>
      </c>
      <c r="H16" s="2">
        <v>3.8149999999999999</v>
      </c>
      <c r="I16" s="2">
        <v>4.75</v>
      </c>
      <c r="J16" s="2">
        <v>1.786667</v>
      </c>
      <c r="K16" s="2">
        <v>1.7849999999999999</v>
      </c>
      <c r="L16" s="38">
        <v>4.0549999999999997</v>
      </c>
      <c r="M16" s="2"/>
      <c r="N16" s="31">
        <v>2.2799999999999998</v>
      </c>
      <c r="O16" s="2">
        <v>1.915</v>
      </c>
      <c r="P16" s="2">
        <v>2.6349999999999998</v>
      </c>
      <c r="Q16" s="2">
        <v>3.3</v>
      </c>
      <c r="R16" s="2">
        <v>5.96</v>
      </c>
      <c r="S16" s="2">
        <v>2.9550000000000001</v>
      </c>
      <c r="T16" s="2">
        <v>2.895</v>
      </c>
      <c r="U16" s="2">
        <v>2.665</v>
      </c>
      <c r="V16" s="2">
        <v>1.83</v>
      </c>
      <c r="W16" s="38">
        <v>4.1900000000000004</v>
      </c>
    </row>
    <row r="17" spans="2:33" ht="20" thickBot="1" x14ac:dyDescent="0.3">
      <c r="B17" s="36" t="s">
        <v>67</v>
      </c>
      <c r="C17" s="39">
        <v>3.72</v>
      </c>
      <c r="D17" s="3">
        <v>2.7625000000000002</v>
      </c>
      <c r="E17" s="3">
        <v>2.8224999999999998</v>
      </c>
      <c r="F17" s="3">
        <v>2.601667</v>
      </c>
      <c r="G17" s="3">
        <v>3.23</v>
      </c>
      <c r="H17" s="3">
        <v>3.58</v>
      </c>
      <c r="I17" s="3">
        <v>4.516667</v>
      </c>
      <c r="J17" s="3">
        <v>2.1539999999999999</v>
      </c>
      <c r="K17" s="3">
        <v>2.1175000000000002</v>
      </c>
      <c r="L17" s="40">
        <v>5.5433300000000001</v>
      </c>
      <c r="M17" s="2"/>
      <c r="N17" s="39">
        <v>2.0433330000000001</v>
      </c>
      <c r="O17" s="3">
        <v>2.226667</v>
      </c>
      <c r="P17" s="3">
        <v>2.3424999999999998</v>
      </c>
      <c r="Q17" s="3">
        <v>2.6575000000000002</v>
      </c>
      <c r="R17" s="3">
        <v>4.53</v>
      </c>
      <c r="S17" s="3">
        <v>4.6633300000000002</v>
      </c>
      <c r="T17" s="3">
        <v>2.4900000000000002</v>
      </c>
      <c r="U17" s="3">
        <v>2.0575000000000001</v>
      </c>
      <c r="V17" s="3">
        <v>1.9175</v>
      </c>
      <c r="W17" s="40">
        <v>2.7574999999999998</v>
      </c>
    </row>
    <row r="18" spans="2:33" x14ac:dyDescent="0.2">
      <c r="L18" s="16"/>
      <c r="M18" s="16"/>
    </row>
    <row r="19" spans="2:33" s="43" customFormat="1" x14ac:dyDescent="0.2">
      <c r="L19" s="20"/>
      <c r="M19" s="20"/>
    </row>
    <row r="20" spans="2:33" ht="17" thickBot="1" x14ac:dyDescent="0.25">
      <c r="L20" s="16"/>
      <c r="M20" s="16"/>
    </row>
    <row r="21" spans="2:33" ht="20" thickBot="1" x14ac:dyDescent="0.3">
      <c r="B21" s="1" t="s">
        <v>82</v>
      </c>
      <c r="C21" s="88" t="s">
        <v>63</v>
      </c>
      <c r="D21" s="89"/>
      <c r="E21" s="89"/>
      <c r="F21" s="89"/>
      <c r="G21" s="89"/>
      <c r="H21" s="89"/>
      <c r="I21" s="89"/>
      <c r="J21" s="89"/>
      <c r="K21" s="89"/>
      <c r="L21" s="90"/>
      <c r="N21" s="91" t="s">
        <v>83</v>
      </c>
      <c r="O21" s="92"/>
      <c r="P21" s="92"/>
      <c r="Q21" s="92"/>
      <c r="R21" s="92"/>
      <c r="S21" s="92"/>
      <c r="T21" s="92"/>
      <c r="U21" s="92"/>
      <c r="V21" s="92"/>
      <c r="W21" s="93"/>
    </row>
    <row r="22" spans="2:33" ht="20" thickBot="1" x14ac:dyDescent="0.3">
      <c r="B22" s="4" t="s">
        <v>0</v>
      </c>
      <c r="C22" s="17" t="s">
        <v>84</v>
      </c>
      <c r="D22" s="18" t="s">
        <v>85</v>
      </c>
      <c r="E22" s="18" t="s">
        <v>86</v>
      </c>
      <c r="F22" s="18" t="s">
        <v>87</v>
      </c>
      <c r="G22" s="18" t="s">
        <v>88</v>
      </c>
      <c r="H22" s="18" t="s">
        <v>89</v>
      </c>
      <c r="I22" s="18" t="s">
        <v>90</v>
      </c>
      <c r="J22" s="18" t="s">
        <v>91</v>
      </c>
      <c r="K22" s="18" t="s">
        <v>92</v>
      </c>
      <c r="L22" s="19" t="s">
        <v>93</v>
      </c>
      <c r="M22" s="16"/>
      <c r="N22" s="17" t="s">
        <v>84</v>
      </c>
      <c r="O22" s="18" t="s">
        <v>85</v>
      </c>
      <c r="P22" s="18" t="s">
        <v>86</v>
      </c>
      <c r="Q22" s="18" t="s">
        <v>87</v>
      </c>
      <c r="R22" s="18" t="s">
        <v>88</v>
      </c>
      <c r="S22" s="18" t="s">
        <v>89</v>
      </c>
      <c r="T22" s="18" t="s">
        <v>90</v>
      </c>
      <c r="U22" s="18" t="s">
        <v>91</v>
      </c>
      <c r="V22" s="18" t="s">
        <v>92</v>
      </c>
      <c r="W22" s="19" t="s">
        <v>93</v>
      </c>
      <c r="X22" s="2"/>
      <c r="Y22" s="2"/>
      <c r="Z22" s="21"/>
      <c r="AA22" s="2"/>
      <c r="AB22" s="2"/>
      <c r="AC22" s="2"/>
      <c r="AD22" s="2"/>
      <c r="AE22" s="2"/>
      <c r="AF22" s="2"/>
      <c r="AG22" s="2"/>
    </row>
    <row r="23" spans="2:33" ht="20" thickBot="1" x14ac:dyDescent="0.3">
      <c r="C23" s="88" t="s">
        <v>78</v>
      </c>
      <c r="D23" s="89"/>
      <c r="E23" s="89"/>
      <c r="F23" s="89"/>
      <c r="G23" s="89"/>
      <c r="H23" s="89"/>
      <c r="I23" s="89"/>
      <c r="J23" s="89"/>
      <c r="K23" s="89"/>
      <c r="L23" s="90"/>
      <c r="M23" s="4"/>
      <c r="N23" s="88" t="s">
        <v>78</v>
      </c>
      <c r="O23" s="89"/>
      <c r="P23" s="89"/>
      <c r="Q23" s="89"/>
      <c r="R23" s="89"/>
      <c r="S23" s="89"/>
      <c r="T23" s="89"/>
      <c r="U23" s="89"/>
      <c r="V23" s="89"/>
      <c r="W23" s="90"/>
      <c r="Z23" s="21"/>
    </row>
    <row r="24" spans="2:33" ht="19" x14ac:dyDescent="0.25">
      <c r="B24" s="36" t="s">
        <v>65</v>
      </c>
      <c r="C24" s="31">
        <v>4.58</v>
      </c>
      <c r="D24" s="2">
        <v>3.84</v>
      </c>
      <c r="E24" s="2">
        <v>3.13</v>
      </c>
      <c r="F24" s="2">
        <v>3.46</v>
      </c>
      <c r="G24" s="2">
        <v>3.92</v>
      </c>
      <c r="H24" s="2">
        <v>3.22</v>
      </c>
      <c r="I24" s="2">
        <v>3.27</v>
      </c>
      <c r="J24" s="2">
        <v>4.55</v>
      </c>
      <c r="K24" s="2">
        <v>3.09</v>
      </c>
      <c r="L24" s="38">
        <v>4.08</v>
      </c>
      <c r="M24" s="2"/>
      <c r="N24" s="31">
        <v>3.6</v>
      </c>
      <c r="O24" s="2">
        <v>2.86</v>
      </c>
      <c r="P24" s="2">
        <v>1.4</v>
      </c>
      <c r="Q24" s="2">
        <v>4.1100000000000003</v>
      </c>
      <c r="R24" s="2">
        <v>5.98</v>
      </c>
      <c r="S24" s="2">
        <v>3.53</v>
      </c>
      <c r="T24" s="2">
        <v>3.28</v>
      </c>
      <c r="U24" s="2">
        <v>2.2599999999999998</v>
      </c>
      <c r="V24" s="2">
        <v>2.21</v>
      </c>
      <c r="W24" s="38">
        <v>3.58</v>
      </c>
      <c r="X24" s="2"/>
      <c r="Y24" s="2"/>
      <c r="Z24" s="21"/>
      <c r="AA24" s="2"/>
      <c r="AB24" s="2"/>
      <c r="AC24" s="2"/>
      <c r="AD24" s="2"/>
      <c r="AE24" s="2"/>
      <c r="AF24" s="2"/>
      <c r="AG24" s="2"/>
    </row>
    <row r="25" spans="2:33" ht="19" x14ac:dyDescent="0.25">
      <c r="B25" s="36" t="s">
        <v>66</v>
      </c>
      <c r="C25" s="31">
        <v>7.42</v>
      </c>
      <c r="D25" s="2">
        <v>6.24</v>
      </c>
      <c r="E25" s="2">
        <v>5.63</v>
      </c>
      <c r="F25" s="2">
        <v>3.46</v>
      </c>
      <c r="G25" s="2">
        <v>4.8600000000000003</v>
      </c>
      <c r="H25" s="2">
        <v>3.22</v>
      </c>
      <c r="I25" s="2">
        <v>5.85</v>
      </c>
      <c r="J25" s="2">
        <v>6.14</v>
      </c>
      <c r="K25" s="2">
        <v>4.7699999999999996</v>
      </c>
      <c r="L25" s="38">
        <v>5.44</v>
      </c>
      <c r="M25" s="2"/>
      <c r="N25" s="31">
        <v>4.58</v>
      </c>
      <c r="O25" s="2">
        <v>3.86</v>
      </c>
      <c r="P25" s="2">
        <v>2.35</v>
      </c>
      <c r="Q25" s="2">
        <v>4.1100000000000003</v>
      </c>
      <c r="R25" s="2">
        <v>5.98</v>
      </c>
      <c r="S25" s="2">
        <v>5.93</v>
      </c>
      <c r="T25" s="2">
        <v>3.28</v>
      </c>
      <c r="U25" s="2">
        <v>5.39</v>
      </c>
      <c r="V25" s="2">
        <v>3.66</v>
      </c>
      <c r="W25" s="38">
        <v>6.42</v>
      </c>
      <c r="X25" s="2"/>
      <c r="Y25" s="2"/>
      <c r="Z25" s="21"/>
      <c r="AA25" s="2"/>
      <c r="AB25" s="2"/>
      <c r="AC25" s="2"/>
      <c r="AD25" s="2"/>
      <c r="AE25" s="2"/>
      <c r="AF25" s="2"/>
      <c r="AG25" s="2"/>
    </row>
    <row r="26" spans="2:33" ht="20" thickBot="1" x14ac:dyDescent="0.3">
      <c r="B26" s="36" t="s">
        <v>67</v>
      </c>
      <c r="C26" s="39">
        <v>12.42</v>
      </c>
      <c r="D26" s="3">
        <v>12.73</v>
      </c>
      <c r="E26" s="3">
        <v>7.13</v>
      </c>
      <c r="F26" s="3">
        <v>11.13</v>
      </c>
      <c r="G26" s="3">
        <v>10.17</v>
      </c>
      <c r="H26" s="3">
        <v>7.49</v>
      </c>
      <c r="I26" s="3">
        <v>10.99</v>
      </c>
      <c r="J26" s="3">
        <v>11.53</v>
      </c>
      <c r="K26" s="3">
        <v>8.4</v>
      </c>
      <c r="L26" s="40">
        <v>12.71</v>
      </c>
      <c r="M26" s="2"/>
      <c r="N26" s="39">
        <v>6.13</v>
      </c>
      <c r="O26" s="3">
        <v>6.71</v>
      </c>
      <c r="P26" s="3">
        <v>8.9700000000000006</v>
      </c>
      <c r="Q26" s="3">
        <v>10.57</v>
      </c>
      <c r="R26" s="3">
        <v>9.08</v>
      </c>
      <c r="S26" s="3">
        <v>14.01</v>
      </c>
      <c r="T26" s="3">
        <v>9.9600000000000009</v>
      </c>
      <c r="U26" s="3">
        <v>8.2899999999999991</v>
      </c>
      <c r="V26" s="3">
        <v>7.67</v>
      </c>
      <c r="W26" s="40">
        <v>11.07</v>
      </c>
      <c r="X26" s="2"/>
      <c r="Y26" s="2"/>
      <c r="Z26" s="21"/>
      <c r="AA26" s="2"/>
      <c r="AB26" s="2"/>
      <c r="AC26" s="2"/>
      <c r="AD26" s="2"/>
      <c r="AE26" s="2"/>
      <c r="AF26" s="2"/>
      <c r="AG26" s="2"/>
    </row>
    <row r="27" spans="2:33" ht="17" thickBot="1" x14ac:dyDescent="0.25">
      <c r="Z27" s="21"/>
    </row>
    <row r="28" spans="2:33" ht="20" thickBot="1" x14ac:dyDescent="0.3">
      <c r="B28" s="4"/>
      <c r="C28" s="88" t="s">
        <v>79</v>
      </c>
      <c r="D28" s="89"/>
      <c r="E28" s="89"/>
      <c r="F28" s="89"/>
      <c r="G28" s="89"/>
      <c r="H28" s="89"/>
      <c r="I28" s="89"/>
      <c r="J28" s="89"/>
      <c r="K28" s="89"/>
      <c r="L28" s="90"/>
      <c r="N28" s="88" t="s">
        <v>80</v>
      </c>
      <c r="O28" s="89"/>
      <c r="P28" s="89"/>
      <c r="Q28" s="89"/>
      <c r="R28" s="89"/>
      <c r="S28" s="89"/>
      <c r="T28" s="89"/>
      <c r="U28" s="89"/>
      <c r="V28" s="89"/>
      <c r="W28" s="90"/>
    </row>
    <row r="29" spans="2:33" ht="19" x14ac:dyDescent="0.25">
      <c r="B29" s="36" t="s">
        <v>65</v>
      </c>
      <c r="C29" s="31">
        <v>1</v>
      </c>
      <c r="D29" s="2">
        <v>1</v>
      </c>
      <c r="E29" s="2">
        <v>1</v>
      </c>
      <c r="F29" s="2">
        <v>2</v>
      </c>
      <c r="G29" s="2">
        <v>2</v>
      </c>
      <c r="H29" s="2">
        <v>1</v>
      </c>
      <c r="I29" s="2">
        <v>1</v>
      </c>
      <c r="J29" s="2">
        <v>2</v>
      </c>
      <c r="K29" s="2">
        <v>1</v>
      </c>
      <c r="L29" s="38">
        <v>1</v>
      </c>
      <c r="M29" s="2"/>
      <c r="N29" s="31">
        <v>2</v>
      </c>
      <c r="O29" s="2">
        <v>1</v>
      </c>
      <c r="P29" s="2">
        <v>1</v>
      </c>
      <c r="Q29" s="2">
        <v>1</v>
      </c>
      <c r="R29" s="2">
        <v>1</v>
      </c>
      <c r="S29" s="2">
        <v>1</v>
      </c>
      <c r="T29" s="2">
        <v>1</v>
      </c>
      <c r="U29" s="2">
        <v>1</v>
      </c>
      <c r="V29" s="2">
        <v>1</v>
      </c>
      <c r="W29" s="38">
        <v>1</v>
      </c>
    </row>
    <row r="30" spans="2:33" ht="19" x14ac:dyDescent="0.25">
      <c r="B30" s="36" t="s">
        <v>66</v>
      </c>
      <c r="C30" s="31">
        <v>1</v>
      </c>
      <c r="D30" s="2">
        <v>2</v>
      </c>
      <c r="E30" s="2">
        <v>2</v>
      </c>
      <c r="F30" s="2">
        <v>3</v>
      </c>
      <c r="G30" s="2">
        <v>3</v>
      </c>
      <c r="H30" s="2">
        <v>2</v>
      </c>
      <c r="I30" s="2">
        <v>1</v>
      </c>
      <c r="J30" s="2">
        <v>3</v>
      </c>
      <c r="K30" s="2">
        <v>2</v>
      </c>
      <c r="L30" s="38">
        <v>2</v>
      </c>
      <c r="M30" s="2"/>
      <c r="N30" s="31">
        <v>2</v>
      </c>
      <c r="O30" s="2">
        <v>2</v>
      </c>
      <c r="P30" s="2">
        <v>2</v>
      </c>
      <c r="Q30" s="2">
        <v>2</v>
      </c>
      <c r="R30" s="2">
        <v>1</v>
      </c>
      <c r="S30" s="2">
        <v>2</v>
      </c>
      <c r="T30" s="2">
        <v>1</v>
      </c>
      <c r="U30" s="2">
        <v>2</v>
      </c>
      <c r="V30" s="2">
        <v>2</v>
      </c>
      <c r="W30" s="38">
        <v>2</v>
      </c>
    </row>
    <row r="31" spans="2:33" ht="20" thickBot="1" x14ac:dyDescent="0.3">
      <c r="B31" s="36" t="s">
        <v>67</v>
      </c>
      <c r="C31" s="39">
        <v>4</v>
      </c>
      <c r="D31" s="3">
        <v>4</v>
      </c>
      <c r="E31" s="3">
        <v>4</v>
      </c>
      <c r="F31" s="3">
        <v>6</v>
      </c>
      <c r="G31" s="3">
        <v>4</v>
      </c>
      <c r="H31" s="3">
        <v>3</v>
      </c>
      <c r="I31" s="3">
        <v>3</v>
      </c>
      <c r="J31" s="3">
        <v>5</v>
      </c>
      <c r="K31" s="3">
        <v>4</v>
      </c>
      <c r="L31" s="40">
        <v>3</v>
      </c>
      <c r="M31" s="2"/>
      <c r="N31" s="39">
        <v>3</v>
      </c>
      <c r="O31" s="3">
        <v>3</v>
      </c>
      <c r="P31" s="3">
        <v>4</v>
      </c>
      <c r="Q31" s="3">
        <v>4</v>
      </c>
      <c r="R31" s="3">
        <v>2</v>
      </c>
      <c r="S31" s="3">
        <v>3</v>
      </c>
      <c r="T31" s="3">
        <v>4</v>
      </c>
      <c r="U31" s="3">
        <v>4</v>
      </c>
      <c r="V31" s="3">
        <v>4</v>
      </c>
      <c r="W31" s="40">
        <v>4</v>
      </c>
    </row>
    <row r="32" spans="2:33" ht="17" thickBot="1" x14ac:dyDescent="0.25"/>
    <row r="33" spans="2:23" ht="20" thickBot="1" x14ac:dyDescent="0.3">
      <c r="B33" s="4"/>
      <c r="C33" s="88" t="s">
        <v>81</v>
      </c>
      <c r="D33" s="89"/>
      <c r="E33" s="89"/>
      <c r="F33" s="89"/>
      <c r="G33" s="89"/>
      <c r="H33" s="89"/>
      <c r="I33" s="89"/>
      <c r="J33" s="89"/>
      <c r="K33" s="89"/>
      <c r="L33" s="90"/>
      <c r="N33" s="88" t="s">
        <v>81</v>
      </c>
      <c r="O33" s="89"/>
      <c r="P33" s="89"/>
      <c r="Q33" s="89"/>
      <c r="R33" s="89"/>
      <c r="S33" s="89"/>
      <c r="T33" s="89"/>
      <c r="U33" s="89"/>
      <c r="V33" s="89"/>
      <c r="W33" s="90"/>
    </row>
    <row r="34" spans="2:23" ht="19" x14ac:dyDescent="0.25">
      <c r="B34" s="36" t="s">
        <v>65</v>
      </c>
      <c r="C34" s="31">
        <v>4.04</v>
      </c>
      <c r="D34" s="2">
        <v>3.04</v>
      </c>
      <c r="E34" s="2">
        <v>2.29</v>
      </c>
      <c r="F34" s="2">
        <v>2.73</v>
      </c>
      <c r="G34" s="2">
        <v>1.82</v>
      </c>
      <c r="H34" s="2">
        <v>3.38</v>
      </c>
      <c r="I34" s="2">
        <v>4.75</v>
      </c>
      <c r="J34" s="2">
        <v>1.9950000000000001</v>
      </c>
      <c r="K34" s="2">
        <v>1.98</v>
      </c>
      <c r="L34" s="38">
        <v>4.46</v>
      </c>
      <c r="M34" s="2"/>
      <c r="N34" s="31">
        <v>2.2799999999999998</v>
      </c>
      <c r="O34" s="2">
        <v>2.83</v>
      </c>
      <c r="P34" s="2">
        <v>1.41</v>
      </c>
      <c r="Q34" s="2">
        <v>4.09</v>
      </c>
      <c r="R34" s="2">
        <v>5.96</v>
      </c>
      <c r="S34" s="2">
        <v>3.53</v>
      </c>
      <c r="T34" s="2">
        <v>3.26</v>
      </c>
      <c r="U34" s="2">
        <v>2.2000000000000002</v>
      </c>
      <c r="V34" s="2">
        <v>2.21</v>
      </c>
      <c r="W34" s="38">
        <v>3.54</v>
      </c>
    </row>
    <row r="35" spans="2:23" ht="19" x14ac:dyDescent="0.25">
      <c r="B35" s="36" t="s">
        <v>66</v>
      </c>
      <c r="C35" s="31">
        <v>4.04</v>
      </c>
      <c r="D35" s="2">
        <v>2.9950000000000001</v>
      </c>
      <c r="E35" s="2">
        <v>2.7050000000000001</v>
      </c>
      <c r="F35" s="2">
        <v>2.483333</v>
      </c>
      <c r="G35" s="2">
        <v>2.2366670000000002</v>
      </c>
      <c r="H35" s="2">
        <v>3.8149999999999999</v>
      </c>
      <c r="I35" s="2">
        <v>4.75</v>
      </c>
      <c r="J35" s="2">
        <v>1.786667</v>
      </c>
      <c r="K35" s="2">
        <v>1.7849999999999999</v>
      </c>
      <c r="L35" s="38">
        <v>4.0549999999999997</v>
      </c>
      <c r="M35" s="2"/>
      <c r="N35" s="31">
        <v>2.2799999999999998</v>
      </c>
      <c r="O35" s="2">
        <v>1.915</v>
      </c>
      <c r="P35" s="2">
        <v>2.6349999999999998</v>
      </c>
      <c r="Q35" s="2">
        <v>3.3</v>
      </c>
      <c r="R35" s="2">
        <v>5.96</v>
      </c>
      <c r="S35" s="2">
        <v>2.9550000000000001</v>
      </c>
      <c r="T35" s="2">
        <v>2.895</v>
      </c>
      <c r="U35" s="2">
        <v>2.665</v>
      </c>
      <c r="V35" s="2">
        <v>1.83</v>
      </c>
      <c r="W35" s="38">
        <v>4.1900000000000004</v>
      </c>
    </row>
    <row r="36" spans="2:23" ht="20" thickBot="1" x14ac:dyDescent="0.3">
      <c r="B36" s="36" t="s">
        <v>67</v>
      </c>
      <c r="C36" s="39">
        <v>3.72</v>
      </c>
      <c r="D36" s="3">
        <v>2.7625000000000002</v>
      </c>
      <c r="E36" s="3">
        <v>2.8224999999999998</v>
      </c>
      <c r="F36" s="3">
        <v>2.601667</v>
      </c>
      <c r="G36" s="3">
        <v>3.23</v>
      </c>
      <c r="H36" s="3">
        <v>3.58</v>
      </c>
      <c r="I36" s="3">
        <v>4.516667</v>
      </c>
      <c r="J36" s="3">
        <v>2.1539999999999999</v>
      </c>
      <c r="K36" s="3">
        <v>2.1175000000000002</v>
      </c>
      <c r="L36" s="40">
        <v>5.5433300000000001</v>
      </c>
      <c r="M36" s="2"/>
      <c r="N36" s="39">
        <v>2.0433330000000001</v>
      </c>
      <c r="O36" s="3">
        <v>2.226667</v>
      </c>
      <c r="P36" s="3">
        <v>2.3424999999999998</v>
      </c>
      <c r="Q36" s="3">
        <v>2.6575000000000002</v>
      </c>
      <c r="R36" s="3">
        <v>4.53</v>
      </c>
      <c r="S36" s="3">
        <v>4.6633300000000002</v>
      </c>
      <c r="T36" s="3">
        <v>2.4900000000000002</v>
      </c>
      <c r="U36" s="3">
        <v>2.0575000000000001</v>
      </c>
      <c r="V36" s="3">
        <v>1.9175</v>
      </c>
      <c r="W36" s="40">
        <v>2.7574999999999998</v>
      </c>
    </row>
  </sheetData>
  <mergeCells count="16">
    <mergeCell ref="C2:L2"/>
    <mergeCell ref="N4:W4"/>
    <mergeCell ref="C4:L4"/>
    <mergeCell ref="N2:W2"/>
    <mergeCell ref="C9:L9"/>
    <mergeCell ref="C14:L14"/>
    <mergeCell ref="N9:W9"/>
    <mergeCell ref="N14:W14"/>
    <mergeCell ref="C21:L21"/>
    <mergeCell ref="N21:W21"/>
    <mergeCell ref="C23:L23"/>
    <mergeCell ref="N23:W23"/>
    <mergeCell ref="C28:L28"/>
    <mergeCell ref="N28:W28"/>
    <mergeCell ref="C33:L33"/>
    <mergeCell ref="N33:W3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3AA26-7268-7E4D-950E-B5F49EE5A514}">
  <dimension ref="B1:AN40"/>
  <sheetViews>
    <sheetView zoomScale="89" zoomScaleNormal="89" workbookViewId="0">
      <selection activeCell="P21" sqref="P21:AA21"/>
    </sheetView>
  </sheetViews>
  <sheetFormatPr baseColWidth="10" defaultRowHeight="16" x14ac:dyDescent="0.2"/>
  <cols>
    <col min="1" max="1" width="10.83203125" style="1"/>
    <col min="2" max="2" width="11.33203125" style="1" bestFit="1" customWidth="1"/>
    <col min="3" max="10" width="7.83203125" style="1" bestFit="1" customWidth="1"/>
    <col min="11" max="11" width="6.5" style="1" bestFit="1" customWidth="1"/>
    <col min="12" max="12" width="7.83203125" style="1" bestFit="1" customWidth="1"/>
    <col min="13" max="15" width="6.5" style="1" bestFit="1" customWidth="1"/>
    <col min="16" max="16" width="7.83203125" style="1" bestFit="1" customWidth="1"/>
    <col min="17" max="17" width="6.5" style="1" bestFit="1" customWidth="1"/>
    <col min="18" max="18" width="7.83203125" style="1" bestFit="1" customWidth="1"/>
    <col min="19" max="20" width="6.5" style="1" bestFit="1" customWidth="1"/>
    <col min="21" max="21" width="7.83203125" style="1" bestFit="1" customWidth="1"/>
    <col min="22" max="22" width="10.83203125" style="1"/>
    <col min="23" max="23" width="11.33203125" style="1" bestFit="1" customWidth="1"/>
    <col min="24" max="25" width="7.83203125" style="1" bestFit="1" customWidth="1"/>
    <col min="26" max="16384" width="10.83203125" style="1"/>
  </cols>
  <sheetData>
    <row r="1" spans="2:40" ht="17" thickBot="1" x14ac:dyDescent="0.25"/>
    <row r="2" spans="2:40" ht="20" thickBot="1" x14ac:dyDescent="0.3">
      <c r="B2" s="1" t="s">
        <v>82</v>
      </c>
      <c r="C2" s="94" t="s">
        <v>63</v>
      </c>
      <c r="D2" s="95"/>
      <c r="E2" s="95"/>
      <c r="F2" s="95"/>
      <c r="G2" s="95"/>
      <c r="H2" s="95"/>
      <c r="I2" s="95"/>
      <c r="J2" s="95"/>
      <c r="K2" s="96"/>
      <c r="M2" s="100" t="s">
        <v>64</v>
      </c>
      <c r="N2" s="101"/>
      <c r="O2" s="101"/>
      <c r="P2" s="101"/>
      <c r="Q2" s="101"/>
      <c r="R2" s="101"/>
      <c r="S2" s="101"/>
      <c r="T2" s="101"/>
      <c r="U2" s="102"/>
      <c r="W2" s="88" t="s">
        <v>116</v>
      </c>
      <c r="X2" s="89"/>
      <c r="Y2" s="90"/>
    </row>
    <row r="3" spans="2:40" ht="20" thickBot="1" x14ac:dyDescent="0.3">
      <c r="B3" s="4" t="s">
        <v>0</v>
      </c>
      <c r="C3" s="17" t="s">
        <v>94</v>
      </c>
      <c r="D3" s="18" t="s">
        <v>95</v>
      </c>
      <c r="E3" s="18" t="s">
        <v>96</v>
      </c>
      <c r="F3" s="18" t="s">
        <v>97</v>
      </c>
      <c r="G3" s="18" t="s">
        <v>98</v>
      </c>
      <c r="H3" s="18" t="s">
        <v>99</v>
      </c>
      <c r="I3" s="18" t="s">
        <v>100</v>
      </c>
      <c r="J3" s="18" t="s">
        <v>101</v>
      </c>
      <c r="K3" s="19" t="s">
        <v>102</v>
      </c>
      <c r="L3" s="16"/>
      <c r="M3" s="17" t="s">
        <v>94</v>
      </c>
      <c r="N3" s="18" t="s">
        <v>95</v>
      </c>
      <c r="O3" s="18" t="s">
        <v>96</v>
      </c>
      <c r="P3" s="18" t="s">
        <v>97</v>
      </c>
      <c r="Q3" s="18" t="s">
        <v>98</v>
      </c>
      <c r="R3" s="18" t="s">
        <v>99</v>
      </c>
      <c r="S3" s="18" t="s">
        <v>100</v>
      </c>
      <c r="T3" s="18" t="s">
        <v>101</v>
      </c>
      <c r="U3" s="19" t="s">
        <v>102</v>
      </c>
      <c r="V3" s="2"/>
      <c r="W3" s="31" t="s">
        <v>0</v>
      </c>
      <c r="X3" s="4" t="s">
        <v>63</v>
      </c>
      <c r="Y3" s="32" t="s">
        <v>120</v>
      </c>
      <c r="Z3" s="2"/>
      <c r="AA3" s="2"/>
      <c r="AB3" s="2"/>
      <c r="AC3" s="2"/>
      <c r="AD3" s="2"/>
    </row>
    <row r="4" spans="2:40" ht="20" thickBot="1" x14ac:dyDescent="0.3">
      <c r="C4" s="97" t="s">
        <v>78</v>
      </c>
      <c r="D4" s="98"/>
      <c r="E4" s="98"/>
      <c r="F4" s="98"/>
      <c r="G4" s="98"/>
      <c r="H4" s="98"/>
      <c r="I4" s="98"/>
      <c r="J4" s="98"/>
      <c r="K4" s="99"/>
      <c r="L4" s="4"/>
      <c r="M4" s="88" t="s">
        <v>78</v>
      </c>
      <c r="N4" s="89"/>
      <c r="O4" s="89"/>
      <c r="P4" s="89"/>
      <c r="Q4" s="89"/>
      <c r="R4" s="89"/>
      <c r="S4" s="89"/>
      <c r="T4" s="89"/>
      <c r="U4" s="90"/>
      <c r="W4" s="69" t="s">
        <v>94</v>
      </c>
      <c r="X4" s="33">
        <v>8</v>
      </c>
      <c r="Y4" s="34">
        <v>67</v>
      </c>
      <c r="Z4" s="2"/>
      <c r="AA4" s="2"/>
      <c r="AB4" s="2"/>
      <c r="AC4" s="2"/>
      <c r="AD4" s="2"/>
      <c r="AE4" s="2"/>
      <c r="AF4" s="2"/>
      <c r="AG4" s="35"/>
      <c r="AH4" s="2"/>
      <c r="AI4" s="2"/>
      <c r="AJ4" s="2"/>
      <c r="AK4" s="2"/>
      <c r="AL4" s="35"/>
      <c r="AM4" s="2"/>
    </row>
    <row r="5" spans="2:40" ht="19" x14ac:dyDescent="0.25">
      <c r="B5" s="36" t="s">
        <v>65</v>
      </c>
      <c r="C5" s="37">
        <v>4.3499999999999996</v>
      </c>
      <c r="D5" s="33">
        <v>3.99</v>
      </c>
      <c r="E5" s="33">
        <v>1.84</v>
      </c>
      <c r="F5" s="33">
        <v>4.46</v>
      </c>
      <c r="G5" s="33">
        <v>3.63</v>
      </c>
      <c r="H5" s="33">
        <v>2.13</v>
      </c>
      <c r="I5" s="33">
        <v>9.2100000000000009</v>
      </c>
      <c r="J5" s="33">
        <v>0.11</v>
      </c>
      <c r="K5" s="34">
        <v>5.01</v>
      </c>
      <c r="L5" s="2"/>
      <c r="M5" s="37">
        <v>4.09</v>
      </c>
      <c r="N5" s="33">
        <v>1.03</v>
      </c>
      <c r="O5" s="33">
        <v>0</v>
      </c>
      <c r="P5" s="33">
        <v>2.46</v>
      </c>
      <c r="Q5" s="33">
        <v>0.81</v>
      </c>
      <c r="R5" s="33">
        <v>2.5499999999999998</v>
      </c>
      <c r="S5" s="33">
        <v>3.29</v>
      </c>
      <c r="T5" s="33">
        <v>2.2799999999999998</v>
      </c>
      <c r="U5" s="34">
        <v>3.12</v>
      </c>
      <c r="V5" s="2"/>
      <c r="W5" s="49" t="s">
        <v>95</v>
      </c>
      <c r="X5" s="2">
        <v>8</v>
      </c>
      <c r="Y5" s="38">
        <v>931</v>
      </c>
      <c r="Z5" s="2"/>
      <c r="AA5" s="2"/>
      <c r="AB5" s="2"/>
      <c r="AC5" s="2"/>
      <c r="AD5" s="2"/>
      <c r="AE5" s="2"/>
      <c r="AF5" s="2"/>
      <c r="AG5" s="35"/>
      <c r="AH5" s="2"/>
      <c r="AI5" s="2"/>
      <c r="AJ5" s="2"/>
      <c r="AK5" s="2"/>
      <c r="AL5" s="35"/>
      <c r="AM5" s="2"/>
    </row>
    <row r="6" spans="2:40" ht="19" x14ac:dyDescent="0.25">
      <c r="B6" s="36" t="s">
        <v>66</v>
      </c>
      <c r="C6" s="31">
        <v>4.3600000000000003</v>
      </c>
      <c r="D6" s="2">
        <v>3.99</v>
      </c>
      <c r="E6" s="2">
        <v>3.34</v>
      </c>
      <c r="F6" s="2">
        <v>4.46</v>
      </c>
      <c r="G6" s="2">
        <v>7.32</v>
      </c>
      <c r="H6" s="2">
        <v>4.66</v>
      </c>
      <c r="I6" s="2">
        <v>11.28</v>
      </c>
      <c r="J6" s="2">
        <v>3.85</v>
      </c>
      <c r="K6" s="38">
        <v>8.82</v>
      </c>
      <c r="L6" s="2"/>
      <c r="M6" s="31">
        <v>4.1399999999999997</v>
      </c>
      <c r="N6" s="2">
        <v>2.76</v>
      </c>
      <c r="O6" s="2">
        <v>2.0099999999999998</v>
      </c>
      <c r="P6" s="2">
        <v>3.99</v>
      </c>
      <c r="Q6" s="2">
        <v>3.78</v>
      </c>
      <c r="R6" s="2">
        <v>4.12</v>
      </c>
      <c r="S6" s="2">
        <v>5.63</v>
      </c>
      <c r="T6" s="2">
        <v>4.38</v>
      </c>
      <c r="U6" s="38">
        <v>3.71</v>
      </c>
      <c r="V6" s="2"/>
      <c r="W6" s="49" t="s">
        <v>96</v>
      </c>
      <c r="X6" s="2">
        <v>20</v>
      </c>
      <c r="Y6" s="38">
        <v>2645</v>
      </c>
      <c r="Z6" s="2"/>
      <c r="AA6" s="2"/>
      <c r="AB6" s="2"/>
      <c r="AC6" s="2"/>
      <c r="AD6" s="2"/>
      <c r="AE6" s="2"/>
      <c r="AF6" s="2"/>
      <c r="AG6" s="35"/>
      <c r="AH6" s="2"/>
      <c r="AI6" s="2"/>
      <c r="AJ6" s="2"/>
      <c r="AK6" s="2"/>
      <c r="AL6" s="35"/>
      <c r="AM6" s="2"/>
    </row>
    <row r="7" spans="2:40" ht="20" thickBot="1" x14ac:dyDescent="0.3">
      <c r="B7" s="36" t="s">
        <v>67</v>
      </c>
      <c r="C7" s="39">
        <v>6.97</v>
      </c>
      <c r="D7" s="3">
        <v>7.09</v>
      </c>
      <c r="E7" s="3">
        <v>5.56</v>
      </c>
      <c r="F7" s="3">
        <v>5.16</v>
      </c>
      <c r="G7" s="3">
        <v>12.16</v>
      </c>
      <c r="H7" s="3">
        <v>7.99</v>
      </c>
      <c r="I7" s="3">
        <v>13.36</v>
      </c>
      <c r="J7" s="3">
        <v>7.41</v>
      </c>
      <c r="K7" s="40">
        <v>14.31</v>
      </c>
      <c r="L7" s="2"/>
      <c r="M7" s="39">
        <v>6.15</v>
      </c>
      <c r="N7" s="3">
        <v>3.86</v>
      </c>
      <c r="O7" s="3">
        <v>5.71</v>
      </c>
      <c r="P7" s="3">
        <v>6.01</v>
      </c>
      <c r="Q7" s="3">
        <v>7.89</v>
      </c>
      <c r="R7" s="3">
        <v>7.42</v>
      </c>
      <c r="S7" s="3">
        <v>12.03</v>
      </c>
      <c r="T7" s="3">
        <v>7.59</v>
      </c>
      <c r="U7" s="40">
        <v>9.25</v>
      </c>
      <c r="V7" s="2"/>
      <c r="W7" s="49" t="s">
        <v>97</v>
      </c>
      <c r="X7" s="2">
        <v>15</v>
      </c>
      <c r="Y7" s="38">
        <v>27</v>
      </c>
      <c r="Z7" s="2"/>
      <c r="AA7" s="2"/>
      <c r="AB7" s="2"/>
      <c r="AC7" s="2"/>
      <c r="AD7" s="2"/>
    </row>
    <row r="8" spans="2:40" ht="20" thickBot="1" x14ac:dyDescent="0.3">
      <c r="W8" s="49" t="s">
        <v>98</v>
      </c>
      <c r="X8" s="2">
        <v>97</v>
      </c>
      <c r="Y8" s="38">
        <v>2650</v>
      </c>
    </row>
    <row r="9" spans="2:40" ht="20" thickBot="1" x14ac:dyDescent="0.3">
      <c r="B9" s="4"/>
      <c r="C9" s="94" t="s">
        <v>79</v>
      </c>
      <c r="D9" s="95"/>
      <c r="E9" s="95"/>
      <c r="F9" s="95"/>
      <c r="G9" s="95"/>
      <c r="H9" s="95"/>
      <c r="I9" s="95"/>
      <c r="J9" s="95"/>
      <c r="K9" s="95"/>
      <c r="M9" s="94" t="s">
        <v>79</v>
      </c>
      <c r="N9" s="95"/>
      <c r="O9" s="95"/>
      <c r="P9" s="95"/>
      <c r="Q9" s="95"/>
      <c r="R9" s="95"/>
      <c r="S9" s="95"/>
      <c r="T9" s="95"/>
      <c r="U9" s="96"/>
      <c r="W9" s="49" t="s">
        <v>99</v>
      </c>
      <c r="X9" s="2">
        <v>2292</v>
      </c>
      <c r="Y9" s="38">
        <v>48</v>
      </c>
      <c r="Z9" s="2"/>
      <c r="AA9" s="2"/>
      <c r="AB9" s="2"/>
      <c r="AC9" s="2"/>
      <c r="AD9" s="2"/>
      <c r="AE9" s="2"/>
      <c r="AF9" s="2"/>
    </row>
    <row r="10" spans="2:40" ht="19" x14ac:dyDescent="0.25">
      <c r="B10" s="36" t="s">
        <v>65</v>
      </c>
      <c r="C10" s="37">
        <v>1</v>
      </c>
      <c r="D10" s="33">
        <v>1</v>
      </c>
      <c r="E10" s="33">
        <v>1</v>
      </c>
      <c r="F10" s="33">
        <v>1</v>
      </c>
      <c r="G10" s="33">
        <v>1</v>
      </c>
      <c r="H10" s="33">
        <v>1</v>
      </c>
      <c r="I10" s="33">
        <v>0</v>
      </c>
      <c r="J10" s="33">
        <v>0</v>
      </c>
      <c r="K10" s="34">
        <v>1</v>
      </c>
      <c r="L10" s="2"/>
      <c r="M10" s="37">
        <v>1</v>
      </c>
      <c r="N10" s="33">
        <v>1</v>
      </c>
      <c r="O10" s="33">
        <v>0</v>
      </c>
      <c r="P10" s="33">
        <v>1</v>
      </c>
      <c r="Q10" s="33">
        <v>1</v>
      </c>
      <c r="R10" s="33">
        <v>2</v>
      </c>
      <c r="S10" s="33">
        <v>0</v>
      </c>
      <c r="T10" s="33">
        <v>1</v>
      </c>
      <c r="U10" s="34">
        <v>2</v>
      </c>
      <c r="W10" s="49" t="s">
        <v>100</v>
      </c>
      <c r="X10" s="2">
        <v>14</v>
      </c>
      <c r="Y10" s="38">
        <v>28</v>
      </c>
      <c r="Z10" s="2"/>
      <c r="AA10" s="2"/>
      <c r="AB10" s="2"/>
      <c r="AC10" s="2"/>
      <c r="AD10" s="2"/>
      <c r="AE10" s="2"/>
      <c r="AF10" s="2"/>
    </row>
    <row r="11" spans="2:40" ht="19" x14ac:dyDescent="0.25">
      <c r="B11" s="36" t="s">
        <v>66</v>
      </c>
      <c r="C11" s="31">
        <v>1</v>
      </c>
      <c r="D11" s="2">
        <v>1</v>
      </c>
      <c r="E11" s="2">
        <v>2</v>
      </c>
      <c r="F11" s="2">
        <v>1</v>
      </c>
      <c r="G11" s="2">
        <v>3</v>
      </c>
      <c r="H11" s="2">
        <v>2</v>
      </c>
      <c r="I11" s="2">
        <v>2</v>
      </c>
      <c r="J11" s="2">
        <v>1</v>
      </c>
      <c r="K11" s="38">
        <v>2</v>
      </c>
      <c r="L11" s="2"/>
      <c r="M11" s="31">
        <v>1</v>
      </c>
      <c r="N11" s="2">
        <v>2</v>
      </c>
      <c r="O11" s="2">
        <v>1</v>
      </c>
      <c r="P11" s="2">
        <v>2</v>
      </c>
      <c r="Q11" s="2">
        <v>2</v>
      </c>
      <c r="R11" s="2">
        <v>3</v>
      </c>
      <c r="S11" s="2">
        <v>3</v>
      </c>
      <c r="T11" s="2">
        <v>1</v>
      </c>
      <c r="U11" s="38">
        <v>2</v>
      </c>
      <c r="W11" s="49" t="s">
        <v>101</v>
      </c>
      <c r="X11" s="2">
        <v>1217</v>
      </c>
      <c r="Y11" s="38">
        <v>26</v>
      </c>
      <c r="Z11" s="2"/>
      <c r="AA11" s="2"/>
      <c r="AB11" s="2"/>
      <c r="AC11" s="2"/>
      <c r="AD11" s="2"/>
      <c r="AE11" s="2"/>
      <c r="AF11" s="2"/>
    </row>
    <row r="12" spans="2:40" ht="20" thickBot="1" x14ac:dyDescent="0.3">
      <c r="B12" s="36" t="s">
        <v>67</v>
      </c>
      <c r="C12" s="39">
        <v>2</v>
      </c>
      <c r="D12" s="3">
        <v>3</v>
      </c>
      <c r="E12" s="3">
        <v>3</v>
      </c>
      <c r="F12" s="3">
        <v>2</v>
      </c>
      <c r="G12" s="3">
        <v>5</v>
      </c>
      <c r="H12" s="3">
        <v>3</v>
      </c>
      <c r="I12" s="3">
        <v>3</v>
      </c>
      <c r="J12" s="3">
        <v>3</v>
      </c>
      <c r="K12" s="40">
        <v>4</v>
      </c>
      <c r="L12" s="2"/>
      <c r="M12" s="39">
        <v>2</v>
      </c>
      <c r="N12" s="3">
        <v>3</v>
      </c>
      <c r="O12" s="3">
        <v>2</v>
      </c>
      <c r="P12" s="3">
        <v>3</v>
      </c>
      <c r="Q12" s="3">
        <v>3</v>
      </c>
      <c r="R12" s="3">
        <v>4</v>
      </c>
      <c r="S12" s="3">
        <v>5</v>
      </c>
      <c r="T12" s="3">
        <v>2</v>
      </c>
      <c r="U12" s="40">
        <v>4</v>
      </c>
      <c r="W12" s="15" t="s">
        <v>102</v>
      </c>
      <c r="X12" s="3">
        <v>25</v>
      </c>
      <c r="Y12" s="40">
        <v>472</v>
      </c>
    </row>
    <row r="13" spans="2:40" ht="20" thickBot="1" x14ac:dyDescent="0.3">
      <c r="W13" s="42"/>
      <c r="Z13" s="2"/>
      <c r="AA13" s="2"/>
      <c r="AB13" s="2"/>
      <c r="AC13" s="2"/>
      <c r="AD13" s="2"/>
      <c r="AE13" s="2"/>
      <c r="AF13" s="2"/>
      <c r="AG13" s="2"/>
    </row>
    <row r="14" spans="2:40" ht="20" thickBot="1" x14ac:dyDescent="0.3">
      <c r="B14" s="4"/>
      <c r="C14" s="88" t="s">
        <v>115</v>
      </c>
      <c r="D14" s="89"/>
      <c r="E14" s="89"/>
      <c r="F14" s="89"/>
      <c r="G14" s="89"/>
      <c r="H14" s="89"/>
      <c r="I14" s="89"/>
      <c r="J14" s="89"/>
      <c r="K14" s="90"/>
      <c r="M14" s="94" t="s">
        <v>115</v>
      </c>
      <c r="N14" s="95"/>
      <c r="O14" s="95"/>
      <c r="P14" s="95"/>
      <c r="Q14" s="95"/>
      <c r="R14" s="95"/>
      <c r="S14" s="95"/>
      <c r="T14" s="95"/>
      <c r="U14" s="96"/>
      <c r="W14" s="21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</row>
    <row r="15" spans="2:40" ht="19" x14ac:dyDescent="0.25">
      <c r="B15" s="36" t="s">
        <v>65</v>
      </c>
      <c r="C15" s="37">
        <v>4.3499999999999996</v>
      </c>
      <c r="D15" s="33">
        <v>3.99</v>
      </c>
      <c r="E15" s="33">
        <v>1.84</v>
      </c>
      <c r="F15" s="33">
        <v>4.46</v>
      </c>
      <c r="G15" s="33">
        <v>3.63</v>
      </c>
      <c r="H15" s="33">
        <v>2.13</v>
      </c>
      <c r="I15" s="33">
        <v>0</v>
      </c>
      <c r="J15" s="33">
        <v>0</v>
      </c>
      <c r="K15" s="34">
        <v>5.01</v>
      </c>
      <c r="M15" s="37">
        <v>4.09</v>
      </c>
      <c r="N15" s="33">
        <v>1.03</v>
      </c>
      <c r="O15" s="33">
        <v>0</v>
      </c>
      <c r="P15" s="33">
        <v>2.46</v>
      </c>
      <c r="Q15" s="33">
        <v>0.81</v>
      </c>
      <c r="R15" s="33">
        <v>1.28</v>
      </c>
      <c r="S15" s="33">
        <v>0</v>
      </c>
      <c r="T15" s="33">
        <v>2.2799999999999998</v>
      </c>
      <c r="U15" s="34">
        <v>1.56</v>
      </c>
      <c r="W15" s="21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</row>
    <row r="16" spans="2:40" ht="19" x14ac:dyDescent="0.25">
      <c r="B16" s="36" t="s">
        <v>66</v>
      </c>
      <c r="C16" s="31">
        <v>4.3600000000000003</v>
      </c>
      <c r="D16" s="2">
        <v>3.99</v>
      </c>
      <c r="E16" s="2">
        <v>1.67</v>
      </c>
      <c r="F16" s="2">
        <v>4.46</v>
      </c>
      <c r="G16" s="2">
        <v>2.44</v>
      </c>
      <c r="H16" s="2">
        <v>2.33</v>
      </c>
      <c r="I16" s="2">
        <v>5.64</v>
      </c>
      <c r="J16" s="2">
        <v>3.85</v>
      </c>
      <c r="K16" s="38">
        <v>4.41</v>
      </c>
      <c r="M16" s="31">
        <v>4.1399999999999997</v>
      </c>
      <c r="N16" s="2">
        <v>1.38</v>
      </c>
      <c r="O16" s="2">
        <v>2.0099999999999998</v>
      </c>
      <c r="P16" s="2">
        <v>2</v>
      </c>
      <c r="Q16" s="2">
        <v>1.89</v>
      </c>
      <c r="R16" s="2">
        <v>1.37</v>
      </c>
      <c r="S16" s="2">
        <v>1.88</v>
      </c>
      <c r="T16" s="2">
        <v>4.38</v>
      </c>
      <c r="U16" s="38">
        <v>1.86</v>
      </c>
      <c r="W16" s="36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</row>
    <row r="17" spans="2:32" ht="20" thickBot="1" x14ac:dyDescent="0.3">
      <c r="B17" s="36" t="s">
        <v>67</v>
      </c>
      <c r="C17" s="39">
        <v>3.49</v>
      </c>
      <c r="D17" s="3">
        <v>2.36</v>
      </c>
      <c r="E17" s="3">
        <v>1.85</v>
      </c>
      <c r="F17" s="3">
        <v>2.58</v>
      </c>
      <c r="G17" s="3">
        <v>2.4300000000000002</v>
      </c>
      <c r="H17" s="3">
        <v>2.66</v>
      </c>
      <c r="I17" s="3">
        <v>4.45</v>
      </c>
      <c r="J17" s="3">
        <v>2.4700000000000002</v>
      </c>
      <c r="K17" s="40">
        <v>3.58</v>
      </c>
      <c r="M17" s="39">
        <v>3.08</v>
      </c>
      <c r="N17" s="3">
        <v>1.29</v>
      </c>
      <c r="O17" s="3">
        <v>2.86</v>
      </c>
      <c r="P17" s="3">
        <v>2</v>
      </c>
      <c r="Q17" s="3">
        <v>2.63</v>
      </c>
      <c r="R17" s="3">
        <v>1.86</v>
      </c>
      <c r="S17" s="3">
        <v>2.41</v>
      </c>
      <c r="T17" s="3">
        <v>3.8</v>
      </c>
      <c r="U17" s="40">
        <v>2.31</v>
      </c>
    </row>
    <row r="18" spans="2:32" x14ac:dyDescent="0.2">
      <c r="L18" s="16"/>
    </row>
    <row r="19" spans="2:32" s="43" customFormat="1" x14ac:dyDescent="0.2">
      <c r="L19" s="20"/>
    </row>
    <row r="20" spans="2:32" ht="17" thickBot="1" x14ac:dyDescent="0.25">
      <c r="L20" s="16"/>
    </row>
    <row r="21" spans="2:32" ht="20" thickBot="1" x14ac:dyDescent="0.3">
      <c r="B21" s="1" t="s">
        <v>82</v>
      </c>
      <c r="C21" s="88" t="s">
        <v>63</v>
      </c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90"/>
      <c r="O21" s="2"/>
      <c r="P21" s="91" t="s">
        <v>83</v>
      </c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3"/>
      <c r="AC21" s="88" t="s">
        <v>116</v>
      </c>
      <c r="AD21" s="89"/>
      <c r="AE21" s="90"/>
    </row>
    <row r="22" spans="2:32" ht="20" thickBot="1" x14ac:dyDescent="0.3">
      <c r="B22" s="4" t="s">
        <v>0</v>
      </c>
      <c r="C22" s="47" t="s">
        <v>103</v>
      </c>
      <c r="D22" s="42" t="s">
        <v>104</v>
      </c>
      <c r="E22" s="42" t="s">
        <v>105</v>
      </c>
      <c r="F22" s="42" t="s">
        <v>106</v>
      </c>
      <c r="G22" s="42" t="s">
        <v>107</v>
      </c>
      <c r="H22" s="42" t="s">
        <v>108</v>
      </c>
      <c r="I22" s="42" t="s">
        <v>109</v>
      </c>
      <c r="J22" s="42" t="s">
        <v>110</v>
      </c>
      <c r="K22" s="42" t="s">
        <v>111</v>
      </c>
      <c r="L22" s="42" t="s">
        <v>112</v>
      </c>
      <c r="M22" s="42" t="s">
        <v>113</v>
      </c>
      <c r="N22" s="66" t="s">
        <v>114</v>
      </c>
      <c r="P22" s="47" t="s">
        <v>103</v>
      </c>
      <c r="Q22" s="42" t="s">
        <v>104</v>
      </c>
      <c r="R22" s="42" t="s">
        <v>105</v>
      </c>
      <c r="S22" s="42" t="s">
        <v>106</v>
      </c>
      <c r="T22" s="42" t="s">
        <v>107</v>
      </c>
      <c r="U22" s="42" t="s">
        <v>108</v>
      </c>
      <c r="V22" s="42" t="s">
        <v>109</v>
      </c>
      <c r="W22" s="42" t="s">
        <v>110</v>
      </c>
      <c r="X22" s="42" t="s">
        <v>111</v>
      </c>
      <c r="Y22" s="42" t="s">
        <v>112</v>
      </c>
      <c r="Z22" s="42" t="s">
        <v>113</v>
      </c>
      <c r="AA22" s="66" t="s">
        <v>114</v>
      </c>
      <c r="AB22" s="2"/>
      <c r="AC22" s="31" t="s">
        <v>0</v>
      </c>
      <c r="AD22" s="4" t="s">
        <v>63</v>
      </c>
      <c r="AE22" s="32" t="s">
        <v>120</v>
      </c>
    </row>
    <row r="23" spans="2:32" ht="20" thickBot="1" x14ac:dyDescent="0.3">
      <c r="C23" s="88" t="s">
        <v>78</v>
      </c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90"/>
      <c r="P23" s="88" t="s">
        <v>78</v>
      </c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90"/>
      <c r="AC23" s="67" t="s">
        <v>103</v>
      </c>
      <c r="AD23" s="45" t="s">
        <v>117</v>
      </c>
      <c r="AE23" s="46" t="s">
        <v>118</v>
      </c>
      <c r="AF23" s="1" t="s">
        <v>119</v>
      </c>
    </row>
    <row r="24" spans="2:32" ht="19" x14ac:dyDescent="0.25">
      <c r="B24" s="36" t="s">
        <v>65</v>
      </c>
      <c r="C24" s="31">
        <v>7.95</v>
      </c>
      <c r="D24" s="2">
        <v>9.36</v>
      </c>
      <c r="E24" s="2">
        <v>7.57</v>
      </c>
      <c r="F24" s="2">
        <v>4.6500000000000004</v>
      </c>
      <c r="G24" s="2">
        <v>5.2</v>
      </c>
      <c r="H24" s="2">
        <v>6.01</v>
      </c>
      <c r="I24" s="2">
        <v>8.32</v>
      </c>
      <c r="J24" s="2">
        <v>6.1</v>
      </c>
      <c r="K24" s="2">
        <v>8.06</v>
      </c>
      <c r="L24" s="2">
        <v>6.22</v>
      </c>
      <c r="M24" s="2">
        <v>6.06</v>
      </c>
      <c r="N24" s="38">
        <v>5.51</v>
      </c>
      <c r="P24" s="31">
        <v>7.73</v>
      </c>
      <c r="Q24" s="2">
        <v>7.68</v>
      </c>
      <c r="R24" s="2">
        <v>7.59</v>
      </c>
      <c r="S24" s="2">
        <v>5.93</v>
      </c>
      <c r="T24" s="2">
        <v>6.12</v>
      </c>
      <c r="U24" s="2">
        <v>5.36</v>
      </c>
      <c r="V24" s="2">
        <v>8.7100000000000009</v>
      </c>
      <c r="W24" s="2">
        <v>6.75</v>
      </c>
      <c r="X24" s="2">
        <v>6.43</v>
      </c>
      <c r="Y24" s="2">
        <v>6.2</v>
      </c>
      <c r="Z24" s="2">
        <v>6.74</v>
      </c>
      <c r="AA24" s="38">
        <v>5.75</v>
      </c>
      <c r="AB24" s="2"/>
      <c r="AC24" s="47" t="s">
        <v>104</v>
      </c>
      <c r="AD24" s="2">
        <v>42</v>
      </c>
      <c r="AE24" s="38">
        <v>104</v>
      </c>
    </row>
    <row r="25" spans="2:32" ht="19" x14ac:dyDescent="0.25">
      <c r="B25" s="36" t="s">
        <v>66</v>
      </c>
      <c r="C25" s="31">
        <v>11.57</v>
      </c>
      <c r="D25" s="2">
        <v>11.79</v>
      </c>
      <c r="E25" s="2">
        <v>10.99</v>
      </c>
      <c r="F25" s="2">
        <v>4.8499999999999996</v>
      </c>
      <c r="G25" s="2">
        <v>7.61</v>
      </c>
      <c r="H25" s="2">
        <v>8.15</v>
      </c>
      <c r="I25" s="2">
        <v>9.18</v>
      </c>
      <c r="J25" s="2">
        <v>9.16</v>
      </c>
      <c r="K25" s="2">
        <v>10.130000000000001</v>
      </c>
      <c r="L25" s="2">
        <v>8.1</v>
      </c>
      <c r="M25" s="2">
        <v>8.4</v>
      </c>
      <c r="N25" s="38">
        <v>10.79</v>
      </c>
      <c r="P25" s="31">
        <v>10</v>
      </c>
      <c r="Q25" s="2">
        <v>10.34</v>
      </c>
      <c r="R25" s="2">
        <v>11.85</v>
      </c>
      <c r="S25" s="2">
        <v>7.71</v>
      </c>
      <c r="T25" s="2">
        <v>10.59</v>
      </c>
      <c r="U25" s="2">
        <v>9.1</v>
      </c>
      <c r="V25" s="2">
        <v>11.13</v>
      </c>
      <c r="W25" s="2">
        <v>7.96</v>
      </c>
      <c r="X25" s="2">
        <v>10.58</v>
      </c>
      <c r="Y25" s="2">
        <v>9.0399999999999991</v>
      </c>
      <c r="Z25" s="2">
        <v>8.25</v>
      </c>
      <c r="AA25" s="38">
        <v>7.27</v>
      </c>
      <c r="AB25" s="2"/>
      <c r="AC25" s="47" t="s">
        <v>105</v>
      </c>
      <c r="AD25" s="2">
        <v>33</v>
      </c>
      <c r="AE25" s="38">
        <v>77</v>
      </c>
    </row>
    <row r="26" spans="2:32" ht="20" thickBot="1" x14ac:dyDescent="0.3">
      <c r="B26" s="36" t="s">
        <v>67</v>
      </c>
      <c r="C26" s="39">
        <v>14.14</v>
      </c>
      <c r="D26" s="3">
        <v>15.8</v>
      </c>
      <c r="E26" s="3">
        <v>14.43</v>
      </c>
      <c r="F26" s="3">
        <v>8.7799999999999994</v>
      </c>
      <c r="G26" s="3">
        <v>10.85</v>
      </c>
      <c r="H26" s="3">
        <v>11.86</v>
      </c>
      <c r="I26" s="3">
        <v>9.16</v>
      </c>
      <c r="J26" s="3">
        <v>12.46</v>
      </c>
      <c r="K26" s="3">
        <v>12.41</v>
      </c>
      <c r="L26" s="3">
        <v>12.43</v>
      </c>
      <c r="M26" s="3">
        <v>9.8000000000000007</v>
      </c>
      <c r="N26" s="40">
        <v>10.88</v>
      </c>
      <c r="P26" s="39">
        <v>16.29</v>
      </c>
      <c r="Q26" s="3">
        <v>13.97</v>
      </c>
      <c r="R26" s="3">
        <v>13.55</v>
      </c>
      <c r="S26" s="3">
        <v>9.58</v>
      </c>
      <c r="T26" s="3">
        <v>11.68</v>
      </c>
      <c r="U26" s="3">
        <v>14.06</v>
      </c>
      <c r="V26" s="3">
        <v>12.1</v>
      </c>
      <c r="W26" s="3">
        <v>10.82</v>
      </c>
      <c r="X26" s="3">
        <v>12.56</v>
      </c>
      <c r="Y26" s="3">
        <v>10.69</v>
      </c>
      <c r="Z26" s="3">
        <v>10.38</v>
      </c>
      <c r="AA26" s="40">
        <v>13.18</v>
      </c>
      <c r="AB26" s="2"/>
      <c r="AC26" s="47" t="s">
        <v>106</v>
      </c>
      <c r="AD26" s="2">
        <v>1334</v>
      </c>
      <c r="AE26" s="38">
        <v>66</v>
      </c>
    </row>
    <row r="27" spans="2:32" ht="20" thickBot="1" x14ac:dyDescent="0.3">
      <c r="AC27" s="47" t="s">
        <v>107</v>
      </c>
      <c r="AD27" s="2">
        <v>38</v>
      </c>
      <c r="AE27" s="38">
        <v>73</v>
      </c>
    </row>
    <row r="28" spans="2:32" ht="20" thickBot="1" x14ac:dyDescent="0.3">
      <c r="B28" s="4"/>
      <c r="C28" s="88" t="s">
        <v>79</v>
      </c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90"/>
      <c r="P28" s="88" t="s">
        <v>79</v>
      </c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90"/>
      <c r="AC28" s="47" t="s">
        <v>108</v>
      </c>
      <c r="AD28" s="2">
        <v>1609</v>
      </c>
      <c r="AE28" s="38">
        <v>32</v>
      </c>
    </row>
    <row r="29" spans="2:32" ht="19" x14ac:dyDescent="0.25">
      <c r="B29" s="36" t="s">
        <v>65</v>
      </c>
      <c r="C29" s="31">
        <v>1</v>
      </c>
      <c r="D29" s="2">
        <v>1</v>
      </c>
      <c r="E29" s="2">
        <v>2</v>
      </c>
      <c r="F29" s="2">
        <v>2</v>
      </c>
      <c r="G29" s="2">
        <v>1</v>
      </c>
      <c r="H29" s="2">
        <v>1</v>
      </c>
      <c r="I29" s="2">
        <v>0</v>
      </c>
      <c r="J29" s="2">
        <v>1</v>
      </c>
      <c r="K29" s="2">
        <v>1</v>
      </c>
      <c r="L29" s="2">
        <v>1</v>
      </c>
      <c r="M29" s="2">
        <v>1</v>
      </c>
      <c r="N29" s="38">
        <v>1</v>
      </c>
      <c r="P29" s="31">
        <v>1</v>
      </c>
      <c r="Q29" s="2">
        <v>1</v>
      </c>
      <c r="R29" s="2">
        <v>1</v>
      </c>
      <c r="S29" s="2">
        <v>2</v>
      </c>
      <c r="T29" s="2">
        <v>1</v>
      </c>
      <c r="U29" s="2">
        <v>1</v>
      </c>
      <c r="V29" s="2">
        <v>0</v>
      </c>
      <c r="W29" s="2">
        <v>1</v>
      </c>
      <c r="X29" s="2">
        <v>1</v>
      </c>
      <c r="Y29" s="2">
        <v>1</v>
      </c>
      <c r="Z29" s="2">
        <v>1</v>
      </c>
      <c r="AA29" s="38">
        <v>1</v>
      </c>
      <c r="AB29" s="2"/>
      <c r="AC29" s="47" t="s">
        <v>109</v>
      </c>
      <c r="AD29" s="2">
        <v>80</v>
      </c>
      <c r="AE29" s="38">
        <v>95</v>
      </c>
    </row>
    <row r="30" spans="2:32" ht="19" x14ac:dyDescent="0.25">
      <c r="B30" s="36" t="s">
        <v>66</v>
      </c>
      <c r="C30" s="31">
        <v>1</v>
      </c>
      <c r="D30" s="2">
        <v>2</v>
      </c>
      <c r="E30" s="2">
        <v>2</v>
      </c>
      <c r="F30" s="2">
        <v>3</v>
      </c>
      <c r="G30" s="2">
        <v>3</v>
      </c>
      <c r="H30" s="2">
        <v>2</v>
      </c>
      <c r="I30" s="2">
        <v>1</v>
      </c>
      <c r="J30" s="2">
        <v>2</v>
      </c>
      <c r="K30" s="2">
        <v>2</v>
      </c>
      <c r="L30" s="2">
        <v>2</v>
      </c>
      <c r="M30" s="2">
        <v>1</v>
      </c>
      <c r="N30" s="38">
        <v>1</v>
      </c>
      <c r="P30" s="31">
        <v>1</v>
      </c>
      <c r="Q30" s="2">
        <v>2</v>
      </c>
      <c r="R30" s="2">
        <v>2</v>
      </c>
      <c r="S30" s="2">
        <v>3</v>
      </c>
      <c r="T30" s="2">
        <v>2</v>
      </c>
      <c r="U30" s="2">
        <v>2</v>
      </c>
      <c r="V30" s="2">
        <v>1</v>
      </c>
      <c r="W30" s="2">
        <v>2</v>
      </c>
      <c r="X30" s="2">
        <v>3</v>
      </c>
      <c r="Y30" s="2">
        <v>1</v>
      </c>
      <c r="Z30" s="2">
        <v>1</v>
      </c>
      <c r="AA30" s="38">
        <v>2</v>
      </c>
      <c r="AB30" s="2"/>
      <c r="AC30" s="47" t="s">
        <v>110</v>
      </c>
      <c r="AD30" s="2">
        <v>1391</v>
      </c>
      <c r="AE30" s="38">
        <v>51</v>
      </c>
    </row>
    <row r="31" spans="2:32" ht="20" thickBot="1" x14ac:dyDescent="0.3">
      <c r="B31" s="36" t="s">
        <v>67</v>
      </c>
      <c r="C31" s="39">
        <v>2</v>
      </c>
      <c r="D31" s="3">
        <v>3</v>
      </c>
      <c r="E31" s="3">
        <v>3</v>
      </c>
      <c r="F31" s="3">
        <v>5</v>
      </c>
      <c r="G31" s="3">
        <v>3</v>
      </c>
      <c r="H31" s="3">
        <v>2</v>
      </c>
      <c r="I31" s="3">
        <v>1</v>
      </c>
      <c r="J31" s="3">
        <v>3</v>
      </c>
      <c r="K31" s="3">
        <v>3</v>
      </c>
      <c r="L31" s="3">
        <v>3</v>
      </c>
      <c r="M31" s="3">
        <v>2</v>
      </c>
      <c r="N31" s="40">
        <v>1</v>
      </c>
      <c r="P31" s="39">
        <v>2</v>
      </c>
      <c r="Q31" s="3">
        <v>4</v>
      </c>
      <c r="R31" s="3">
        <v>3</v>
      </c>
      <c r="S31" s="3">
        <v>4</v>
      </c>
      <c r="T31" s="3">
        <v>2</v>
      </c>
      <c r="U31" s="3">
        <v>3</v>
      </c>
      <c r="V31" s="3">
        <v>2</v>
      </c>
      <c r="W31" s="3">
        <v>2</v>
      </c>
      <c r="X31" s="3">
        <v>4</v>
      </c>
      <c r="Y31" s="3">
        <v>2</v>
      </c>
      <c r="Z31" s="3">
        <v>2</v>
      </c>
      <c r="AA31" s="40">
        <v>3</v>
      </c>
      <c r="AB31" s="2"/>
      <c r="AC31" s="47" t="s">
        <v>111</v>
      </c>
      <c r="AD31" s="2">
        <v>37</v>
      </c>
      <c r="AE31" s="38">
        <v>85</v>
      </c>
    </row>
    <row r="32" spans="2:32" ht="20" thickBot="1" x14ac:dyDescent="0.3">
      <c r="W32" s="21"/>
      <c r="AC32" s="47" t="s">
        <v>112</v>
      </c>
      <c r="AD32" s="2">
        <v>621</v>
      </c>
      <c r="AE32" s="38">
        <v>79</v>
      </c>
    </row>
    <row r="33" spans="2:31" ht="20" thickBot="1" x14ac:dyDescent="0.3">
      <c r="B33" s="4"/>
      <c r="C33" s="88" t="s">
        <v>115</v>
      </c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90"/>
      <c r="P33" s="88" t="s">
        <v>115</v>
      </c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90"/>
      <c r="AC33" s="47" t="s">
        <v>113</v>
      </c>
      <c r="AD33" s="2">
        <v>163</v>
      </c>
      <c r="AE33" s="38">
        <v>96</v>
      </c>
    </row>
    <row r="34" spans="2:31" ht="20" thickBot="1" x14ac:dyDescent="0.3">
      <c r="B34" s="36" t="s">
        <v>65</v>
      </c>
      <c r="C34" s="31">
        <v>4.68</v>
      </c>
      <c r="D34" s="2">
        <v>4.58</v>
      </c>
      <c r="E34" s="2">
        <v>3.84</v>
      </c>
      <c r="F34" s="2">
        <v>3.13</v>
      </c>
      <c r="G34" s="2">
        <v>3.46</v>
      </c>
      <c r="H34" s="2">
        <v>3.92</v>
      </c>
      <c r="I34" s="2">
        <v>0</v>
      </c>
      <c r="J34" s="2">
        <v>1.44</v>
      </c>
      <c r="K34" s="2">
        <v>3.27</v>
      </c>
      <c r="L34" s="2">
        <v>4.55</v>
      </c>
      <c r="M34" s="2">
        <v>3.09</v>
      </c>
      <c r="N34" s="38">
        <v>4.08</v>
      </c>
      <c r="P34" s="31">
        <v>6.48</v>
      </c>
      <c r="Q34" s="2">
        <v>4.32</v>
      </c>
      <c r="R34" s="2">
        <v>3.03</v>
      </c>
      <c r="S34" s="2">
        <v>4.22</v>
      </c>
      <c r="T34" s="2">
        <v>4.1900000000000004</v>
      </c>
      <c r="U34" s="2">
        <v>6.14</v>
      </c>
      <c r="V34" s="2">
        <v>0</v>
      </c>
      <c r="W34" s="2">
        <v>6.43</v>
      </c>
      <c r="X34" s="2">
        <v>2.14</v>
      </c>
      <c r="Y34" s="2">
        <v>2.59</v>
      </c>
      <c r="Z34" s="2">
        <v>5.5</v>
      </c>
      <c r="AA34" s="38">
        <v>3.42</v>
      </c>
      <c r="AB34" s="2"/>
      <c r="AC34" s="68" t="s">
        <v>114</v>
      </c>
      <c r="AD34" s="3">
        <v>891</v>
      </c>
      <c r="AE34" s="40">
        <v>55</v>
      </c>
    </row>
    <row r="35" spans="2:31" ht="19" x14ac:dyDescent="0.25">
      <c r="B35" s="36" t="s">
        <v>66</v>
      </c>
      <c r="C35" s="31">
        <v>4.68</v>
      </c>
      <c r="D35" s="2">
        <v>3.71</v>
      </c>
      <c r="E35" s="2">
        <v>3.12</v>
      </c>
      <c r="F35" s="2">
        <v>2.82</v>
      </c>
      <c r="G35" s="2">
        <v>3.46</v>
      </c>
      <c r="H35" s="2">
        <v>2.4300000000000002</v>
      </c>
      <c r="I35" s="2">
        <v>3.22</v>
      </c>
      <c r="J35" s="2">
        <v>1.46</v>
      </c>
      <c r="K35" s="2">
        <v>2.93</v>
      </c>
      <c r="L35" s="2">
        <v>3.07</v>
      </c>
      <c r="M35" s="2">
        <v>2.39</v>
      </c>
      <c r="N35" s="38">
        <v>2.72</v>
      </c>
      <c r="P35" s="31">
        <v>3.22</v>
      </c>
      <c r="Q35" s="2">
        <v>3.22</v>
      </c>
      <c r="R35" s="2">
        <v>2.27</v>
      </c>
      <c r="S35" s="2">
        <v>4.22</v>
      </c>
      <c r="T35" s="2">
        <v>4.1900000000000004</v>
      </c>
      <c r="U35" s="2">
        <v>6.14</v>
      </c>
      <c r="V35" s="2">
        <v>2.13</v>
      </c>
      <c r="W35" s="2">
        <v>6.43</v>
      </c>
      <c r="X35" s="2">
        <v>2.14</v>
      </c>
      <c r="Y35" s="2">
        <v>2.13</v>
      </c>
      <c r="Z35" s="2">
        <v>3.15</v>
      </c>
      <c r="AA35" s="38">
        <v>2.69</v>
      </c>
      <c r="AB35" s="2"/>
      <c r="AC35" s="2"/>
      <c r="AD35" s="2"/>
    </row>
    <row r="36" spans="2:31" ht="20" thickBot="1" x14ac:dyDescent="0.3">
      <c r="B36" s="36" t="s">
        <v>67</v>
      </c>
      <c r="C36" s="39">
        <v>3.23</v>
      </c>
      <c r="D36" s="3">
        <v>2.48</v>
      </c>
      <c r="E36" s="3">
        <v>2.5499999999999998</v>
      </c>
      <c r="F36" s="3">
        <v>2.38</v>
      </c>
      <c r="G36" s="3">
        <v>2.78</v>
      </c>
      <c r="H36" s="3">
        <v>2.54</v>
      </c>
      <c r="I36" s="3">
        <v>2.5</v>
      </c>
      <c r="J36" s="3">
        <v>1.98</v>
      </c>
      <c r="K36" s="3">
        <v>2.75</v>
      </c>
      <c r="L36" s="3">
        <v>3.84</v>
      </c>
      <c r="M36" s="3">
        <v>2.1</v>
      </c>
      <c r="N36" s="40">
        <v>4.24</v>
      </c>
      <c r="P36" s="39">
        <v>3.02</v>
      </c>
      <c r="Q36" s="3">
        <v>1.85</v>
      </c>
      <c r="R36" s="3">
        <v>2.66</v>
      </c>
      <c r="S36" s="3">
        <v>2.85</v>
      </c>
      <c r="T36" s="3">
        <v>3.11</v>
      </c>
      <c r="U36" s="3">
        <v>5.4</v>
      </c>
      <c r="V36" s="3">
        <v>2.04</v>
      </c>
      <c r="W36" s="3">
        <v>2.74</v>
      </c>
      <c r="X36" s="3">
        <v>2.0699999999999998</v>
      </c>
      <c r="Y36" s="3">
        <v>2.35</v>
      </c>
      <c r="Z36" s="3">
        <v>2.2000000000000002</v>
      </c>
      <c r="AA36" s="40">
        <v>2.6</v>
      </c>
      <c r="AB36" s="2"/>
      <c r="AC36" s="2"/>
      <c r="AD36" s="2"/>
    </row>
    <row r="37" spans="2:31" x14ac:dyDescent="0.2">
      <c r="W37" s="21"/>
    </row>
    <row r="38" spans="2:31" x14ac:dyDescent="0.2">
      <c r="W38" s="42"/>
    </row>
    <row r="39" spans="2:31" x14ac:dyDescent="0.2">
      <c r="W39" s="21"/>
    </row>
    <row r="40" spans="2:31" x14ac:dyDescent="0.2">
      <c r="W40" s="21"/>
    </row>
  </sheetData>
  <mergeCells count="18">
    <mergeCell ref="W2:Y2"/>
    <mergeCell ref="C33:N33"/>
    <mergeCell ref="P33:AA33"/>
    <mergeCell ref="C21:N21"/>
    <mergeCell ref="C23:N23"/>
    <mergeCell ref="P21:AA21"/>
    <mergeCell ref="P23:AA23"/>
    <mergeCell ref="C28:N28"/>
    <mergeCell ref="P28:AA28"/>
    <mergeCell ref="C14:K14"/>
    <mergeCell ref="M14:U14"/>
    <mergeCell ref="C2:K2"/>
    <mergeCell ref="M2:U2"/>
    <mergeCell ref="C4:K4"/>
    <mergeCell ref="M4:U4"/>
    <mergeCell ref="C9:K9"/>
    <mergeCell ref="M9:U9"/>
    <mergeCell ref="AC21:AE2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EE3E6-0BA1-784C-A1DA-F33FD1814E71}">
  <dimension ref="B2:AF43"/>
  <sheetViews>
    <sheetView tabSelected="1" topLeftCell="A24" workbookViewId="0">
      <selection activeCell="H32" sqref="H32:N32"/>
    </sheetView>
  </sheetViews>
  <sheetFormatPr baseColWidth="10" defaultRowHeight="16" x14ac:dyDescent="0.2"/>
  <cols>
    <col min="1" max="2" width="10.83203125" style="1"/>
    <col min="3" max="10" width="9.1640625" style="1" bestFit="1" customWidth="1"/>
    <col min="11" max="12" width="10.83203125" style="1"/>
    <col min="13" max="20" width="9.1640625" style="1" bestFit="1" customWidth="1"/>
    <col min="21" max="16384" width="10.83203125" style="1"/>
  </cols>
  <sheetData>
    <row r="2" spans="2:24" ht="19" x14ac:dyDescent="0.25">
      <c r="H2" s="103" t="s">
        <v>124</v>
      </c>
      <c r="I2" s="103"/>
      <c r="J2" s="103"/>
      <c r="K2" s="103"/>
      <c r="L2" s="103"/>
      <c r="M2" s="103"/>
      <c r="N2" s="103"/>
    </row>
    <row r="3" spans="2:24" ht="17" thickBot="1" x14ac:dyDescent="0.25"/>
    <row r="4" spans="2:24" ht="20" thickBot="1" x14ac:dyDescent="0.3">
      <c r="C4" s="88" t="s">
        <v>63</v>
      </c>
      <c r="D4" s="89"/>
      <c r="E4" s="89"/>
      <c r="F4" s="89"/>
      <c r="G4" s="89"/>
      <c r="H4" s="89"/>
      <c r="I4" s="89"/>
      <c r="J4" s="90"/>
      <c r="K4" s="4"/>
      <c r="M4" s="107" t="s">
        <v>83</v>
      </c>
      <c r="N4" s="108"/>
      <c r="O4" s="108"/>
      <c r="P4" s="108"/>
      <c r="Q4" s="108"/>
      <c r="R4" s="108"/>
      <c r="S4" s="108"/>
      <c r="T4" s="109"/>
      <c r="U4" s="4"/>
      <c r="V4" s="110" t="s">
        <v>121</v>
      </c>
      <c r="W4" s="111"/>
      <c r="X4" s="112"/>
    </row>
    <row r="5" spans="2:24" ht="20" thickBot="1" x14ac:dyDescent="0.3">
      <c r="C5" s="17" t="s">
        <v>70</v>
      </c>
      <c r="D5" s="18" t="s">
        <v>71</v>
      </c>
      <c r="E5" s="18" t="s">
        <v>72</v>
      </c>
      <c r="F5" s="18" t="s">
        <v>73</v>
      </c>
      <c r="G5" s="18" t="s">
        <v>74</v>
      </c>
      <c r="H5" s="18" t="s">
        <v>75</v>
      </c>
      <c r="I5" s="18" t="s">
        <v>76</v>
      </c>
      <c r="J5" s="19" t="s">
        <v>77</v>
      </c>
      <c r="K5" s="22"/>
      <c r="M5" s="17" t="s">
        <v>70</v>
      </c>
      <c r="N5" s="18" t="s">
        <v>71</v>
      </c>
      <c r="O5" s="18" t="s">
        <v>72</v>
      </c>
      <c r="P5" s="18" t="s">
        <v>73</v>
      </c>
      <c r="Q5" s="18" t="s">
        <v>74</v>
      </c>
      <c r="R5" s="18" t="s">
        <v>75</v>
      </c>
      <c r="S5" s="18" t="s">
        <v>76</v>
      </c>
      <c r="T5" s="19" t="s">
        <v>77</v>
      </c>
      <c r="U5" s="16"/>
      <c r="V5" s="23" t="s">
        <v>0</v>
      </c>
      <c r="W5" s="29" t="s">
        <v>63</v>
      </c>
      <c r="X5" s="30" t="s">
        <v>120</v>
      </c>
    </row>
    <row r="6" spans="2:24" ht="20" thickBot="1" x14ac:dyDescent="0.3">
      <c r="C6" s="88" t="s">
        <v>125</v>
      </c>
      <c r="D6" s="89"/>
      <c r="E6" s="89"/>
      <c r="F6" s="89"/>
      <c r="G6" s="89"/>
      <c r="H6" s="89"/>
      <c r="I6" s="89"/>
      <c r="J6" s="90"/>
      <c r="K6" s="4"/>
      <c r="M6" s="88" t="s">
        <v>125</v>
      </c>
      <c r="N6" s="89"/>
      <c r="O6" s="89"/>
      <c r="P6" s="89"/>
      <c r="Q6" s="89"/>
      <c r="R6" s="89"/>
      <c r="S6" s="89"/>
      <c r="T6" s="90"/>
      <c r="U6" s="4"/>
      <c r="V6" s="49" t="s">
        <v>70</v>
      </c>
      <c r="W6" s="2">
        <v>8.3900000000000002E-2</v>
      </c>
      <c r="X6" s="38">
        <v>-0.1578</v>
      </c>
    </row>
    <row r="7" spans="2:24" ht="19" x14ac:dyDescent="0.25">
      <c r="B7" s="1" t="s">
        <v>122</v>
      </c>
      <c r="C7" s="31">
        <v>0.46800000000000003</v>
      </c>
      <c r="D7" s="2">
        <v>0.39</v>
      </c>
      <c r="E7" s="2">
        <v>0.46160000000000001</v>
      </c>
      <c r="F7" s="2">
        <v>0.41920000000000002</v>
      </c>
      <c r="G7" s="2">
        <v>0.41489999999999999</v>
      </c>
      <c r="H7" s="2">
        <v>0.47060000000000002</v>
      </c>
      <c r="I7" s="2">
        <v>0.47739999999999999</v>
      </c>
      <c r="J7" s="38">
        <v>0.49459999999999998</v>
      </c>
      <c r="K7" s="2"/>
      <c r="L7" s="1" t="s">
        <v>122</v>
      </c>
      <c r="M7" s="31">
        <v>0.52680000000000005</v>
      </c>
      <c r="N7" s="2">
        <v>0.4753</v>
      </c>
      <c r="O7" s="2">
        <v>0.52100000000000002</v>
      </c>
      <c r="P7" s="2">
        <v>0.47210000000000002</v>
      </c>
      <c r="Q7" s="2">
        <v>0.46820000000000001</v>
      </c>
      <c r="R7" s="2">
        <v>0.37540000000000001</v>
      </c>
      <c r="S7" s="2">
        <v>0.47110000000000002</v>
      </c>
      <c r="T7" s="38">
        <v>0.48659999999999998</v>
      </c>
      <c r="U7" s="2"/>
      <c r="V7" s="49" t="s">
        <v>71</v>
      </c>
      <c r="W7" s="2">
        <v>0.2238</v>
      </c>
      <c r="X7" s="38">
        <v>2.6100000000000002E-2</v>
      </c>
    </row>
    <row r="8" spans="2:24" ht="20" thickBot="1" x14ac:dyDescent="0.3">
      <c r="B8" s="1" t="s">
        <v>123</v>
      </c>
      <c r="C8" s="39">
        <v>0.55189999999999995</v>
      </c>
      <c r="D8" s="3">
        <v>0.61380000000000001</v>
      </c>
      <c r="E8" s="3">
        <v>0.42899999999999999</v>
      </c>
      <c r="F8" s="3">
        <v>0.47689999999999999</v>
      </c>
      <c r="G8" s="3">
        <v>0.7288</v>
      </c>
      <c r="H8" s="3">
        <v>0.46150000000000002</v>
      </c>
      <c r="I8" s="3">
        <v>0.61990000000000001</v>
      </c>
      <c r="J8" s="40">
        <v>0.51680000000000004</v>
      </c>
      <c r="K8" s="2"/>
      <c r="L8" s="1" t="s">
        <v>123</v>
      </c>
      <c r="M8" s="39">
        <v>0.36899999999999999</v>
      </c>
      <c r="N8" s="3">
        <v>0.50139999999999996</v>
      </c>
      <c r="O8" s="3">
        <v>0.40910000000000002</v>
      </c>
      <c r="P8" s="3">
        <v>0.43809999999999999</v>
      </c>
      <c r="Q8" s="3">
        <v>0.50339999999999996</v>
      </c>
      <c r="R8" s="3">
        <v>0.35520000000000002</v>
      </c>
      <c r="S8" s="3">
        <v>0.40720000000000001</v>
      </c>
      <c r="T8" s="40">
        <v>0.59340000000000004</v>
      </c>
      <c r="U8" s="2"/>
      <c r="V8" s="49" t="s">
        <v>72</v>
      </c>
      <c r="W8" s="2">
        <v>-3.27E-2</v>
      </c>
      <c r="X8" s="38">
        <v>-0.1119</v>
      </c>
    </row>
    <row r="9" spans="2:24" ht="19" x14ac:dyDescent="0.25">
      <c r="V9" s="49" t="s">
        <v>73</v>
      </c>
      <c r="W9" s="2">
        <v>5.7700000000000001E-2</v>
      </c>
      <c r="X9" s="38">
        <v>-3.4000000000000002E-2</v>
      </c>
    </row>
    <row r="10" spans="2:24" ht="19" x14ac:dyDescent="0.25">
      <c r="V10" s="49" t="s">
        <v>74</v>
      </c>
      <c r="W10" s="2">
        <v>0.31390000000000001</v>
      </c>
      <c r="X10" s="38">
        <v>3.5200000000000002E-2</v>
      </c>
    </row>
    <row r="11" spans="2:24" ht="19" x14ac:dyDescent="0.25">
      <c r="V11" s="49" t="s">
        <v>75</v>
      </c>
      <c r="W11" s="2">
        <v>-9.1000000000000004E-3</v>
      </c>
      <c r="X11" s="38">
        <v>-2.0199999999999999E-2</v>
      </c>
    </row>
    <row r="12" spans="2:24" ht="19" x14ac:dyDescent="0.25">
      <c r="V12" s="49" t="s">
        <v>76</v>
      </c>
      <c r="W12" s="2">
        <v>0.14249999999999999</v>
      </c>
      <c r="X12" s="38">
        <v>-6.3899999999999998E-2</v>
      </c>
    </row>
    <row r="13" spans="2:24" ht="20" thickBot="1" x14ac:dyDescent="0.3">
      <c r="V13" s="15" t="s">
        <v>77</v>
      </c>
      <c r="W13" s="3">
        <v>2.2200000000000001E-2</v>
      </c>
      <c r="X13" s="40">
        <v>0.10680000000000001</v>
      </c>
    </row>
    <row r="14" spans="2:24" ht="19" x14ac:dyDescent="0.25">
      <c r="V14" s="16"/>
      <c r="W14" s="2"/>
      <c r="X14" s="2"/>
    </row>
    <row r="16" spans="2:24" s="43" customFormat="1" x14ac:dyDescent="0.2"/>
    <row r="18" spans="2:32" ht="19" x14ac:dyDescent="0.25">
      <c r="H18" s="103" t="s">
        <v>133</v>
      </c>
      <c r="I18" s="103"/>
      <c r="J18" s="103"/>
      <c r="K18" s="103"/>
      <c r="L18" s="103"/>
      <c r="M18" s="103"/>
      <c r="N18" s="103"/>
    </row>
    <row r="19" spans="2:32" ht="17" thickBot="1" x14ac:dyDescent="0.25"/>
    <row r="20" spans="2:32" ht="20" thickBot="1" x14ac:dyDescent="0.3">
      <c r="C20" s="88" t="s">
        <v>63</v>
      </c>
      <c r="D20" s="89"/>
      <c r="E20" s="89"/>
      <c r="F20" s="89"/>
      <c r="G20" s="89"/>
      <c r="H20" s="90"/>
      <c r="I20" s="2"/>
      <c r="J20" s="2"/>
      <c r="K20" s="4"/>
      <c r="M20" s="107" t="s">
        <v>83</v>
      </c>
      <c r="N20" s="108"/>
      <c r="O20" s="108"/>
      <c r="P20" s="108"/>
      <c r="Q20" s="108"/>
      <c r="R20" s="109"/>
      <c r="S20" s="2"/>
      <c r="T20" s="2"/>
      <c r="U20" s="4"/>
      <c r="V20" s="113" t="s">
        <v>126</v>
      </c>
      <c r="W20" s="114"/>
      <c r="X20" s="114"/>
      <c r="Y20" s="115"/>
    </row>
    <row r="21" spans="2:32" ht="20" thickBot="1" x14ac:dyDescent="0.3">
      <c r="C21" s="62" t="s">
        <v>138</v>
      </c>
      <c r="D21" s="64" t="s">
        <v>139</v>
      </c>
      <c r="E21" s="64" t="s">
        <v>140</v>
      </c>
      <c r="F21" s="64" t="s">
        <v>148</v>
      </c>
      <c r="G21" s="64" t="s">
        <v>149</v>
      </c>
      <c r="H21" s="65" t="s">
        <v>150</v>
      </c>
      <c r="I21" s="16"/>
      <c r="J21" s="16"/>
      <c r="K21" s="22"/>
      <c r="L21" s="16"/>
      <c r="M21" s="62" t="s">
        <v>136</v>
      </c>
      <c r="N21" s="64" t="s">
        <v>144</v>
      </c>
      <c r="O21" s="64" t="s">
        <v>141</v>
      </c>
      <c r="P21" s="64" t="s">
        <v>147</v>
      </c>
      <c r="Q21" s="64" t="s">
        <v>142</v>
      </c>
      <c r="R21" s="65" t="s">
        <v>143</v>
      </c>
      <c r="S21" s="16"/>
      <c r="T21" s="16"/>
      <c r="U21" s="16"/>
      <c r="V21" s="12" t="s">
        <v>0</v>
      </c>
      <c r="W21" s="41" t="s">
        <v>63</v>
      </c>
      <c r="X21" s="55" t="s">
        <v>0</v>
      </c>
      <c r="Y21" s="54" t="s">
        <v>120</v>
      </c>
    </row>
    <row r="22" spans="2:32" ht="20" thickBot="1" x14ac:dyDescent="0.3">
      <c r="C22" s="88" t="s">
        <v>125</v>
      </c>
      <c r="D22" s="89"/>
      <c r="E22" s="89"/>
      <c r="F22" s="89"/>
      <c r="G22" s="89"/>
      <c r="H22" s="90"/>
      <c r="I22" s="2"/>
      <c r="J22" s="2"/>
      <c r="K22" s="4"/>
      <c r="L22" s="4"/>
      <c r="M22" s="88" t="s">
        <v>125</v>
      </c>
      <c r="N22" s="89"/>
      <c r="O22" s="89"/>
      <c r="P22" s="89"/>
      <c r="Q22" s="89"/>
      <c r="R22" s="90"/>
      <c r="S22" s="2"/>
      <c r="T22" s="2"/>
      <c r="U22" s="4"/>
      <c r="V22" s="13" t="s">
        <v>136</v>
      </c>
      <c r="W22" s="33">
        <v>0.121858507</v>
      </c>
      <c r="X22" s="56" t="s">
        <v>127</v>
      </c>
      <c r="Y22" s="34">
        <v>-4.3627450999999998E-2</v>
      </c>
    </row>
    <row r="23" spans="2:32" ht="19" x14ac:dyDescent="0.25">
      <c r="B23" s="1" t="s">
        <v>122</v>
      </c>
      <c r="C23" s="31">
        <v>0.41618497100000001</v>
      </c>
      <c r="D23" s="2">
        <v>0.40186915899999998</v>
      </c>
      <c r="E23" s="2">
        <v>0.41013824900000001</v>
      </c>
      <c r="F23" s="2">
        <v>0.39770554499999999</v>
      </c>
      <c r="G23" s="2">
        <v>0.41618497100000001</v>
      </c>
      <c r="H23" s="38">
        <v>0.44377509999999998</v>
      </c>
      <c r="I23" s="2"/>
      <c r="J23" s="2"/>
      <c r="K23" s="2"/>
      <c r="L23" s="1" t="s">
        <v>122</v>
      </c>
      <c r="M23" s="31">
        <v>0.50833333300000005</v>
      </c>
      <c r="N23" s="2">
        <v>0.40296296300000001</v>
      </c>
      <c r="O23" s="2">
        <v>0.41618497100000001</v>
      </c>
      <c r="P23" s="2">
        <v>0.54899135399999999</v>
      </c>
      <c r="Q23" s="2">
        <v>0.42042042000000002</v>
      </c>
      <c r="R23" s="38">
        <v>0.53914988799999997</v>
      </c>
      <c r="S23" s="2"/>
      <c r="T23" s="2"/>
      <c r="U23" s="2"/>
      <c r="V23" s="62" t="s">
        <v>144</v>
      </c>
      <c r="W23" s="2">
        <v>-1.5044834999999999E-2</v>
      </c>
      <c r="X23" s="53" t="s">
        <v>128</v>
      </c>
      <c r="Y23" s="38">
        <v>0.19414989799999999</v>
      </c>
    </row>
    <row r="24" spans="2:32" ht="20" thickBot="1" x14ac:dyDescent="0.3">
      <c r="B24" s="1" t="s">
        <v>123</v>
      </c>
      <c r="C24" s="39">
        <v>0.53804347799999996</v>
      </c>
      <c r="D24" s="3">
        <v>0.386824324</v>
      </c>
      <c r="E24" s="3">
        <v>0.68414154699999996</v>
      </c>
      <c r="F24" s="3">
        <v>0.56315789500000002</v>
      </c>
      <c r="G24" s="3">
        <v>0.67924528299999998</v>
      </c>
      <c r="H24" s="40">
        <v>0.50095602299999997</v>
      </c>
      <c r="I24" s="2"/>
      <c r="J24" s="2"/>
      <c r="K24" s="2"/>
      <c r="L24" s="1" t="s">
        <v>123</v>
      </c>
      <c r="M24" s="39">
        <v>0.46470588200000001</v>
      </c>
      <c r="N24" s="3">
        <v>0.59711286100000005</v>
      </c>
      <c r="O24" s="3">
        <v>0.483271375</v>
      </c>
      <c r="P24" s="3">
        <v>0.68877551000000004</v>
      </c>
      <c r="Q24" s="3">
        <v>0.76712328799999996</v>
      </c>
      <c r="R24" s="40">
        <v>0.78217821799999998</v>
      </c>
      <c r="S24" s="2"/>
      <c r="T24" s="2"/>
      <c r="U24" s="2"/>
      <c r="V24" s="62" t="s">
        <v>141</v>
      </c>
      <c r="W24" s="2">
        <v>0.27400329800000001</v>
      </c>
      <c r="X24" s="53" t="s">
        <v>129</v>
      </c>
      <c r="Y24" s="38">
        <v>6.7086404000000002E-2</v>
      </c>
    </row>
    <row r="25" spans="2:32" ht="19" x14ac:dyDescent="0.25">
      <c r="V25" s="62" t="s">
        <v>147</v>
      </c>
      <c r="W25" s="2">
        <v>0.16545235</v>
      </c>
      <c r="X25" s="53" t="s">
        <v>130</v>
      </c>
      <c r="Y25" s="38">
        <v>0.13978415599999999</v>
      </c>
    </row>
    <row r="26" spans="2:32" ht="19" x14ac:dyDescent="0.25">
      <c r="V26" s="62" t="s">
        <v>142</v>
      </c>
      <c r="W26" s="2">
        <v>0.26306031200000002</v>
      </c>
      <c r="X26" s="53" t="s">
        <v>131</v>
      </c>
      <c r="Y26" s="38">
        <v>0.34670286700000003</v>
      </c>
      <c r="AA26" s="2"/>
      <c r="AB26" s="2"/>
      <c r="AC26" s="2"/>
      <c r="AD26" s="2"/>
      <c r="AE26" s="2"/>
      <c r="AF26" s="2"/>
    </row>
    <row r="27" spans="2:32" ht="20" thickBot="1" x14ac:dyDescent="0.3">
      <c r="D27" s="2"/>
      <c r="E27" s="2"/>
      <c r="F27" s="2"/>
      <c r="G27" s="2"/>
      <c r="H27" s="2"/>
      <c r="I27" s="2"/>
      <c r="V27" s="63" t="s">
        <v>143</v>
      </c>
      <c r="W27" s="3">
        <v>5.7180923000000002E-2</v>
      </c>
      <c r="X27" s="57" t="s">
        <v>132</v>
      </c>
      <c r="Y27" s="40">
        <v>0.24302832999999999</v>
      </c>
      <c r="AA27" s="2"/>
      <c r="AB27" s="2"/>
      <c r="AC27" s="2"/>
      <c r="AD27" s="2"/>
      <c r="AE27" s="2"/>
      <c r="AF27" s="2"/>
    </row>
    <row r="28" spans="2:32" ht="19" x14ac:dyDescent="0.25">
      <c r="D28" s="2"/>
      <c r="E28" s="2"/>
      <c r="F28" s="2"/>
      <c r="G28" s="2"/>
      <c r="H28" s="2"/>
      <c r="I28" s="2"/>
      <c r="V28" s="16"/>
      <c r="W28" s="2"/>
    </row>
    <row r="30" spans="2:32" s="43" customFormat="1" x14ac:dyDescent="0.2"/>
    <row r="32" spans="2:32" ht="19" x14ac:dyDescent="0.25">
      <c r="H32" s="103" t="s">
        <v>134</v>
      </c>
      <c r="I32" s="103"/>
      <c r="J32" s="103"/>
      <c r="K32" s="103"/>
      <c r="L32" s="103"/>
      <c r="M32" s="103"/>
      <c r="N32" s="103"/>
    </row>
    <row r="33" spans="2:23" ht="20" thickBot="1" x14ac:dyDescent="0.3">
      <c r="D33" s="2"/>
      <c r="E33" s="2"/>
      <c r="F33" s="2"/>
      <c r="G33" s="2"/>
      <c r="H33" s="2"/>
      <c r="I33" s="2"/>
      <c r="V33" s="16"/>
      <c r="W33" s="2"/>
    </row>
    <row r="34" spans="2:23" ht="20" thickBot="1" x14ac:dyDescent="0.3">
      <c r="B34" s="104" t="s">
        <v>135</v>
      </c>
      <c r="C34" s="105"/>
      <c r="D34" s="105"/>
      <c r="E34" s="106"/>
    </row>
    <row r="35" spans="2:23" ht="20" thickBot="1" x14ac:dyDescent="0.3">
      <c r="B35" s="23" t="s">
        <v>0</v>
      </c>
      <c r="C35" s="29" t="s">
        <v>63</v>
      </c>
      <c r="D35" s="24" t="s">
        <v>0</v>
      </c>
      <c r="E35" s="44" t="s">
        <v>120</v>
      </c>
    </row>
    <row r="36" spans="2:23" ht="19" x14ac:dyDescent="0.25">
      <c r="B36" s="51" t="s">
        <v>136</v>
      </c>
      <c r="C36" s="2">
        <v>0.47699999999999998</v>
      </c>
      <c r="D36" s="53" t="s">
        <v>144</v>
      </c>
      <c r="E36" s="38">
        <v>0.57599999999999996</v>
      </c>
    </row>
    <row r="37" spans="2:23" ht="19" x14ac:dyDescent="0.25">
      <c r="B37" s="51" t="s">
        <v>137</v>
      </c>
      <c r="C37" s="2">
        <v>0.91900000000000004</v>
      </c>
      <c r="D37" s="53" t="s">
        <v>145</v>
      </c>
      <c r="E37" s="38">
        <v>0.63400000000000001</v>
      </c>
      <c r="O37" s="50"/>
      <c r="P37" s="50"/>
      <c r="Q37" s="50"/>
      <c r="R37" s="50"/>
      <c r="S37" s="50"/>
      <c r="T37" s="50"/>
      <c r="U37" s="50"/>
    </row>
    <row r="38" spans="2:23" ht="19" x14ac:dyDescent="0.25">
      <c r="B38" s="51" t="s">
        <v>138</v>
      </c>
      <c r="C38" s="2">
        <v>0.59899999999999998</v>
      </c>
      <c r="D38" s="53" t="s">
        <v>146</v>
      </c>
      <c r="E38" s="38">
        <v>0.61699999999999999</v>
      </c>
      <c r="O38" s="50"/>
      <c r="P38" s="50"/>
      <c r="Q38" s="50"/>
      <c r="R38" s="50"/>
      <c r="S38" s="50"/>
      <c r="T38" s="50"/>
      <c r="U38" s="50"/>
    </row>
    <row r="39" spans="2:23" ht="19" x14ac:dyDescent="0.25">
      <c r="B39" s="51" t="s">
        <v>139</v>
      </c>
      <c r="C39" s="2">
        <v>0.53200000000000003</v>
      </c>
      <c r="D39" s="53" t="s">
        <v>147</v>
      </c>
      <c r="E39" s="38">
        <v>0.92200000000000004</v>
      </c>
    </row>
    <row r="40" spans="2:23" ht="19" x14ac:dyDescent="0.25">
      <c r="B40" s="51" t="s">
        <v>140</v>
      </c>
      <c r="C40" s="2">
        <v>0.81100000000000005</v>
      </c>
      <c r="D40" s="53" t="s">
        <v>148</v>
      </c>
      <c r="E40" s="38">
        <v>0.84399999999999997</v>
      </c>
    </row>
    <row r="41" spans="2:23" ht="19" x14ac:dyDescent="0.25">
      <c r="B41" s="51" t="s">
        <v>141</v>
      </c>
      <c r="C41" s="2">
        <v>0.57199999999999995</v>
      </c>
      <c r="D41" s="53" t="s">
        <v>149</v>
      </c>
      <c r="E41" s="38">
        <v>0.63300000000000001</v>
      </c>
    </row>
    <row r="42" spans="2:23" ht="19" x14ac:dyDescent="0.25">
      <c r="B42" s="51" t="s">
        <v>142</v>
      </c>
      <c r="C42" s="2">
        <v>1</v>
      </c>
      <c r="D42" s="53" t="s">
        <v>150</v>
      </c>
      <c r="E42" s="38">
        <v>0.63300000000000001</v>
      </c>
    </row>
    <row r="43" spans="2:23" ht="20" thickBot="1" x14ac:dyDescent="0.3">
      <c r="B43" s="52" t="s">
        <v>143</v>
      </c>
      <c r="C43" s="3">
        <v>0.57099999999999995</v>
      </c>
      <c r="D43" s="58"/>
      <c r="E43" s="59"/>
    </row>
  </sheetData>
  <mergeCells count="14">
    <mergeCell ref="H2:N2"/>
    <mergeCell ref="B34:E34"/>
    <mergeCell ref="M20:R20"/>
    <mergeCell ref="V4:X4"/>
    <mergeCell ref="H32:N32"/>
    <mergeCell ref="V20:Y20"/>
    <mergeCell ref="M22:R22"/>
    <mergeCell ref="C20:H20"/>
    <mergeCell ref="C22:H22"/>
    <mergeCell ref="H18:N18"/>
    <mergeCell ref="C4:J4"/>
    <mergeCell ref="M4:T4"/>
    <mergeCell ref="C6:J6"/>
    <mergeCell ref="M6:T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Signal Confirmation</vt:lpstr>
      <vt:lpstr>Refeeding</vt:lpstr>
      <vt:lpstr>IP Injections</vt:lpstr>
      <vt:lpstr>Spontaneous Intake </vt:lpstr>
      <vt:lpstr>Post Salient Meal Intake</vt:lpstr>
      <vt:lpstr>Memory 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Bashaw</dc:creator>
  <cp:lastModifiedBy>Alexander Bashaw</cp:lastModifiedBy>
  <dcterms:created xsi:type="dcterms:W3CDTF">2026-07-28T18:13:10Z</dcterms:created>
  <dcterms:modified xsi:type="dcterms:W3CDTF">2026-08-01T00:52:37Z</dcterms:modified>
</cp:coreProperties>
</file>